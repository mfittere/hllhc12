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24"/>
  <workbookPr autoCompressPictures="0"/>
  <bookViews>
    <workbookView xWindow="38460" yWindow="0" windowWidth="21380" windowHeight="21060" activeTab="1"/>
  </bookViews>
  <sheets>
    <sheet name="Sheet1" sheetId="1" r:id="rId1"/>
    <sheet name="Sheet2" sheetId="2" r:id="rId2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" i="2" l="1"/>
  <c r="N58" i="2"/>
  <c r="N57" i="2"/>
  <c r="M58" i="2"/>
  <c r="F51" i="2"/>
  <c r="F70" i="2"/>
  <c r="F72" i="2"/>
  <c r="F73" i="2"/>
  <c r="F52" i="2"/>
  <c r="J21" i="2"/>
  <c r="K27" i="2"/>
  <c r="J13" i="2"/>
  <c r="K17" i="2"/>
  <c r="F48" i="2"/>
  <c r="G16" i="2"/>
  <c r="K22" i="2"/>
  <c r="I9" i="2"/>
  <c r="H9" i="2"/>
  <c r="J12" i="2"/>
  <c r="K9" i="2"/>
  <c r="G9" i="2"/>
  <c r="G47" i="2"/>
  <c r="H47" i="2"/>
  <c r="J47" i="2"/>
  <c r="F53" i="2"/>
  <c r="J54" i="2"/>
  <c r="K55" i="2"/>
  <c r="G65" i="2"/>
  <c r="F68" i="2"/>
  <c r="H58" i="2"/>
  <c r="H56" i="2"/>
  <c r="J56" i="2"/>
  <c r="K58" i="2"/>
  <c r="H59" i="2"/>
  <c r="K59" i="2"/>
  <c r="M59" i="2"/>
  <c r="H60" i="2"/>
  <c r="K60" i="2"/>
  <c r="M60" i="2"/>
  <c r="H61" i="2"/>
  <c r="K61" i="2"/>
  <c r="M61" i="2"/>
  <c r="H62" i="2"/>
  <c r="K62" i="2"/>
  <c r="M62" i="2"/>
  <c r="H63" i="2"/>
  <c r="K63" i="2"/>
  <c r="M63" i="2"/>
  <c r="H64" i="2"/>
  <c r="K64" i="2"/>
  <c r="M64" i="2"/>
  <c r="K57" i="2"/>
  <c r="M57" i="2"/>
  <c r="F83" i="2"/>
  <c r="K84" i="2"/>
  <c r="K85" i="2"/>
  <c r="F85" i="2"/>
  <c r="F76" i="2"/>
  <c r="M74" i="2"/>
  <c r="M75" i="2"/>
  <c r="M76" i="2"/>
  <c r="M78" i="2"/>
  <c r="K78" i="2"/>
  <c r="K75" i="2"/>
  <c r="K74" i="2"/>
  <c r="K73" i="2"/>
  <c r="K72" i="2"/>
  <c r="K76" i="2"/>
  <c r="K77" i="2"/>
  <c r="J67" i="2"/>
  <c r="K67" i="2"/>
  <c r="J66" i="2"/>
  <c r="K66" i="2"/>
  <c r="J65" i="2"/>
  <c r="K65" i="2"/>
  <c r="M67" i="2"/>
  <c r="M65" i="2"/>
  <c r="M66" i="2"/>
  <c r="M68" i="2"/>
  <c r="M69" i="2"/>
  <c r="J57" i="2"/>
  <c r="J58" i="2"/>
  <c r="J59" i="2"/>
  <c r="J60" i="2"/>
  <c r="J61" i="2"/>
  <c r="J62" i="2"/>
  <c r="J63" i="2"/>
  <c r="J64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55" i="2"/>
  <c r="K56" i="2"/>
  <c r="M55" i="2"/>
  <c r="M12" i="2"/>
  <c r="K13" i="2"/>
  <c r="M13" i="2"/>
  <c r="K14" i="2"/>
  <c r="M14" i="2"/>
  <c r="J15" i="2"/>
  <c r="K15" i="2"/>
  <c r="M15" i="2"/>
  <c r="J16" i="2"/>
  <c r="K16" i="2"/>
  <c r="M16" i="2"/>
  <c r="M17" i="2"/>
  <c r="M18" i="2"/>
  <c r="J17" i="2"/>
  <c r="K19" i="2"/>
  <c r="M19" i="2"/>
  <c r="M20" i="2"/>
  <c r="K21" i="2"/>
  <c r="M21" i="2"/>
  <c r="M22" i="2"/>
  <c r="M23" i="2"/>
  <c r="M24" i="2"/>
  <c r="J23" i="2"/>
  <c r="K25" i="2"/>
  <c r="M25" i="2"/>
  <c r="M26" i="2"/>
  <c r="M27" i="2"/>
  <c r="J27" i="2"/>
  <c r="K28" i="2"/>
  <c r="M28" i="2"/>
  <c r="M29" i="2"/>
  <c r="J30" i="2"/>
  <c r="K30" i="2"/>
  <c r="M30" i="2"/>
  <c r="M31" i="2"/>
  <c r="J28" i="2"/>
  <c r="K32" i="2"/>
  <c r="M32" i="2"/>
  <c r="M33" i="2"/>
  <c r="J33" i="2"/>
  <c r="K34" i="2"/>
  <c r="M34" i="2"/>
  <c r="J34" i="2"/>
  <c r="K35" i="2"/>
  <c r="M35" i="2"/>
  <c r="H36" i="2"/>
  <c r="J35" i="2"/>
  <c r="K36" i="2"/>
  <c r="M36" i="2"/>
  <c r="H37" i="2"/>
  <c r="J36" i="2"/>
  <c r="K37" i="2"/>
  <c r="M37" i="2"/>
  <c r="H38" i="2"/>
  <c r="J37" i="2"/>
  <c r="K38" i="2"/>
  <c r="M38" i="2"/>
  <c r="H39" i="2"/>
  <c r="J38" i="2"/>
  <c r="K39" i="2"/>
  <c r="M39" i="2"/>
  <c r="H40" i="2"/>
  <c r="J39" i="2"/>
  <c r="K40" i="2"/>
  <c r="M40" i="2"/>
  <c r="H41" i="2"/>
  <c r="J40" i="2"/>
  <c r="K41" i="2"/>
  <c r="M41" i="2"/>
  <c r="H42" i="2"/>
  <c r="J41" i="2"/>
  <c r="K42" i="2"/>
  <c r="M42" i="2"/>
  <c r="M43" i="2"/>
  <c r="J42" i="2"/>
  <c r="K44" i="2"/>
  <c r="M44" i="2"/>
  <c r="M45" i="2"/>
  <c r="K46" i="2"/>
  <c r="M46" i="2"/>
  <c r="M47" i="2"/>
  <c r="K54" i="2"/>
  <c r="M54" i="2"/>
  <c r="M56" i="2"/>
  <c r="J11" i="2"/>
  <c r="K11" i="2"/>
  <c r="M11" i="2"/>
  <c r="J14" i="2"/>
  <c r="J19" i="2"/>
  <c r="J22" i="2"/>
  <c r="J25" i="2"/>
  <c r="J32" i="2"/>
  <c r="J44" i="2"/>
  <c r="J46" i="2"/>
  <c r="J9" i="2"/>
  <c r="G15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6" i="2"/>
  <c r="G67" i="2"/>
  <c r="G12" i="2"/>
  <c r="G13" i="2"/>
  <c r="G14" i="2"/>
  <c r="G11" i="2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3" i="1"/>
</calcChain>
</file>

<file path=xl/sharedStrings.xml><?xml version="1.0" encoding="utf-8"?>
<sst xmlns="http://schemas.openxmlformats.org/spreadsheetml/2006/main" count="223" uniqueCount="141">
  <si>
    <t>Assembly</t>
  </si>
  <si>
    <t>Sub-Assembly</t>
  </si>
  <si>
    <t>Center of the Magnetic Length (mm)</t>
  </si>
  <si>
    <t>Magnetic Length (mm)</t>
  </si>
  <si>
    <t>Distance from the IP</t>
  </si>
  <si>
    <t>ACFCA.AR5.B1</t>
  </si>
  <si>
    <t>ACFCA.BR5.B1</t>
  </si>
  <si>
    <t>ACFCA.AR5.B2</t>
  </si>
  <si>
    <t>ACFCA.BR5.B2</t>
  </si>
  <si>
    <t>ACFCA.CR5.B1</t>
  </si>
  <si>
    <t>ACFCA.DR5.B1</t>
  </si>
  <si>
    <t>ACFCA.CR5.B2</t>
  </si>
  <si>
    <t>ACFCA.DR5.B2</t>
  </si>
  <si>
    <t>Q1</t>
  </si>
  <si>
    <t>Q2A</t>
  </si>
  <si>
    <t>Q2B</t>
  </si>
  <si>
    <t>Q3</t>
  </si>
  <si>
    <t>CP</t>
  </si>
  <si>
    <t>D1</t>
  </si>
  <si>
    <t>DFXJ</t>
  </si>
  <si>
    <t>DFMJ</t>
  </si>
  <si>
    <t>D2</t>
  </si>
  <si>
    <t>CRAB MODULE</t>
  </si>
  <si>
    <t>Q4</t>
  </si>
  <si>
    <t>MQXFA</t>
  </si>
  <si>
    <t>MCBXFBH</t>
  </si>
  <si>
    <t>MCBXFBV</t>
  </si>
  <si>
    <t>MQXFB</t>
  </si>
  <si>
    <t>MCBXFAH</t>
  </si>
  <si>
    <t>MCBXFAV</t>
  </si>
  <si>
    <t>MQSXF</t>
  </si>
  <si>
    <t>MCTXF</t>
  </si>
  <si>
    <t>MCTSXF</t>
  </si>
  <si>
    <t>MCDXF</t>
  </si>
  <si>
    <t>MCDSXF</t>
  </si>
  <si>
    <t>MCOXF</t>
  </si>
  <si>
    <t>MCOSXF</t>
  </si>
  <si>
    <t>MCSXF</t>
  </si>
  <si>
    <t>MCSSXF</t>
  </si>
  <si>
    <t>MBXF</t>
  </si>
  <si>
    <t>MBRD</t>
  </si>
  <si>
    <t>MCBRDV</t>
  </si>
  <si>
    <t>MCBRDH</t>
  </si>
  <si>
    <t>MCBYYH</t>
  </si>
  <si>
    <t>MCBYYV</t>
  </si>
  <si>
    <t>MQYY</t>
  </si>
  <si>
    <t>New Distance from the IP</t>
  </si>
  <si>
    <t>26100mm</t>
  </si>
  <si>
    <t>35585.5mm</t>
  </si>
  <si>
    <t>30946mm</t>
  </si>
  <si>
    <t>40249mm</t>
  </si>
  <si>
    <t>49510mm</t>
  </si>
  <si>
    <t>54173.5mm</t>
  </si>
  <si>
    <t>58818mm</t>
  </si>
  <si>
    <t>63664mm</t>
  </si>
  <si>
    <t>69299.44mm</t>
  </si>
  <si>
    <t>71098.94mm</t>
  </si>
  <si>
    <t>71858.82mm</t>
  </si>
  <si>
    <t>72256.2mm</t>
  </si>
  <si>
    <t>72482.58mm</t>
  </si>
  <si>
    <t>72711.96mm</t>
  </si>
  <si>
    <t>72935.34mm</t>
  </si>
  <si>
    <t>73152.72mm</t>
  </si>
  <si>
    <t>73382.1mm</t>
  </si>
  <si>
    <t>73623.48mm</t>
  </si>
  <si>
    <t>78500.44mm</t>
  </si>
  <si>
    <t>84565.44mm</t>
  </si>
  <si>
    <t>IR5 Right Beam 1</t>
  </si>
  <si>
    <t>Position</t>
  </si>
  <si>
    <t>Start</t>
  </si>
  <si>
    <t>End</t>
  </si>
  <si>
    <t>Length</t>
  </si>
  <si>
    <t>[m]</t>
  </si>
  <si>
    <t>IP5</t>
  </si>
  <si>
    <t>MBCS2.1R5</t>
  </si>
  <si>
    <t>TAXS.1R5</t>
  </si>
  <si>
    <t>BPMSQW.1R5.B1</t>
  </si>
  <si>
    <t>MQXFA.A1R5</t>
  </si>
  <si>
    <t>MQXFA.B1R5</t>
  </si>
  <si>
    <t>BPMSQ.1R5.B1</t>
  </si>
  <si>
    <t>MCBXFBH.A2R5</t>
  </si>
  <si>
    <t>MCBXFBV.A2R5</t>
  </si>
  <si>
    <t>MQXFB.A2R5</t>
  </si>
  <si>
    <t>BPMSQT.A2R5.B1</t>
  </si>
  <si>
    <t>MQXFB.B2R5</t>
  </si>
  <si>
    <t>MCBXFBH.B2R5</t>
  </si>
  <si>
    <t>MCBXFBV.B2R5</t>
  </si>
  <si>
    <t>BPMSQT.B2R5.B1</t>
  </si>
  <si>
    <t>MQXFA.A3R5</t>
  </si>
  <si>
    <t>MQXFA.B3R5</t>
  </si>
  <si>
    <t>BPMSQT.A3R5.B1</t>
  </si>
  <si>
    <t>MCBXFAH.3R5</t>
  </si>
  <si>
    <t>MCBXFAV.3R5</t>
  </si>
  <si>
    <t>MQSXF.3R5</t>
  </si>
  <si>
    <t>MCTXF.3R5</t>
  </si>
  <si>
    <t>MCTSXF.3R5</t>
  </si>
  <si>
    <t>MCDXF.3R5</t>
  </si>
  <si>
    <t>MCDSXF.3R5</t>
  </si>
  <si>
    <t>MCOXF.3R5</t>
  </si>
  <si>
    <t>MCOSXF.3R5</t>
  </si>
  <si>
    <t>MCSXF.3R5</t>
  </si>
  <si>
    <t>MCSSXF.3R5</t>
  </si>
  <si>
    <t>BPMSQ.B3R5.B1</t>
  </si>
  <si>
    <t>MBXF.4R5</t>
  </si>
  <si>
    <t>BPMSQ.4R5.B1</t>
  </si>
  <si>
    <t>TAXN.4R5</t>
  </si>
  <si>
    <t>TCL.4R5.B1</t>
  </si>
  <si>
    <t>BPMWQ.4R5.B1</t>
  </si>
  <si>
    <t>TCLMA.4R5.B1</t>
  </si>
  <si>
    <t>MBRD.4R5.B1</t>
  </si>
  <si>
    <t>MCBRDV.4R5.B1</t>
  </si>
  <si>
    <t>MCBRDH.4R5.B1</t>
  </si>
  <si>
    <t>MCBYYH.4R5.B1</t>
  </si>
  <si>
    <t>MCBYYV.4R5.B1</t>
  </si>
  <si>
    <t>MQYY.4R5.B1</t>
  </si>
  <si>
    <t>BPMQA.4R5.B1</t>
  </si>
  <si>
    <t>APWL.5R5.B1</t>
  </si>
  <si>
    <t>TCL.5R5.B1</t>
  </si>
  <si>
    <t>TCLMB.5R5.B1</t>
  </si>
  <si>
    <t>MCBYV.A5R5.B1</t>
  </si>
  <si>
    <t>MCBYH.5R5.B1</t>
  </si>
  <si>
    <t>MCBYV.B5R5.B1</t>
  </si>
  <si>
    <t>MQY.5R5.B1</t>
  </si>
  <si>
    <t>BPMYA.5R5.B1</t>
  </si>
  <si>
    <t>TCL.6R5.B1</t>
  </si>
  <si>
    <t>TCLMC.6R5.B1</t>
  </si>
  <si>
    <t>MCBCV.6R5.B1</t>
  </si>
  <si>
    <t>MQML.6R5.B1</t>
  </si>
  <si>
    <t>BPMR.6R5.B1</t>
  </si>
  <si>
    <t>BPM_A.7R5.B1</t>
  </si>
  <si>
    <t>MQM.A7R5.B1</t>
  </si>
  <si>
    <t>MQM.B7R5.B1</t>
  </si>
  <si>
    <t>MCBCH.7R5.B1</t>
  </si>
  <si>
    <t>S.DS.R5.B1</t>
  </si>
  <si>
    <t>x</t>
  </si>
  <si>
    <t>Done</t>
  </si>
  <si>
    <t>between parasitic beam-beam encounters, assume same length as for other BPMS</t>
  </si>
  <si>
    <t>cms solenoid - not removed from sequence</t>
  </si>
  <si>
    <t>for old layout see:https://espace.cern.ch/HiLumi/WP2/task2/_layouts/xlviewer.aspx?id=/HiLumi/WP2/task2/Shared%20Documents/layout11.xlsx</t>
  </si>
  <si>
    <t>BBLR potential position</t>
  </si>
  <si>
    <t>as in technical drawing  Collimators_Area_2_1.jpg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</si>
</sst>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"/>
    <numFmt numFmtId="165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scheme val="minor"/>
    </font>
    <font>
      <sz val="11"/>
      <color rgb="FFFF0000"/>
      <name val="Calibri"/>
      <scheme val="minor"/>
    </font>
    <font>
      <sz val="20"/>
      <color rgb="FFFF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2" applyNumberForma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5" fontId="0" fillId="0" borderId="1" xfId="0" applyNumberFormat="1" applyBorder="1"/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Font="1" applyBorder="1"/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1" fillId="0" borderId="0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2" fillId="2" borderId="0" xfId="1" applyAlignment="1">
      <alignment horizontal="center"/>
    </xf>
    <xf numFmtId="0" fontId="1" fillId="5" borderId="0" xfId="0" applyFont="1" applyFill="1" applyBorder="1" applyAlignment="1">
      <alignment horizontal="right" vertical="center"/>
    </xf>
    <xf numFmtId="0" fontId="0" fillId="5" borderId="0" xfId="0" applyFill="1" applyBorder="1" applyAlignment="1">
      <alignment horizontal="right" vertical="center"/>
    </xf>
    <xf numFmtId="0" fontId="0" fillId="5" borderId="0" xfId="0" applyFill="1" applyAlignment="1">
      <alignment horizontal="right"/>
    </xf>
    <xf numFmtId="0" fontId="1" fillId="0" borderId="0" xfId="0" applyFont="1"/>
    <xf numFmtId="49" fontId="0" fillId="0" borderId="0" xfId="0" applyNumberFormat="1"/>
    <xf numFmtId="0" fontId="7" fillId="0" borderId="0" xfId="0" applyFont="1"/>
    <xf numFmtId="0" fontId="8" fillId="0" borderId="0" xfId="0" applyFont="1" applyFill="1" applyBorder="1" applyAlignment="1">
      <alignment horizontal="right" vertical="center"/>
    </xf>
    <xf numFmtId="0" fontId="4" fillId="4" borderId="2" xfId="3" applyAlignment="1">
      <alignment horizontal="center" vertical="center"/>
    </xf>
    <xf numFmtId="0" fontId="2" fillId="2" borderId="0" xfId="1" applyAlignment="1">
      <alignment horizontal="center"/>
    </xf>
    <xf numFmtId="2" fontId="2" fillId="2" borderId="0" xfId="1" applyNumberFormat="1" applyBorder="1" applyAlignment="1">
      <alignment horizontal="right" vertical="center"/>
    </xf>
    <xf numFmtId="2" fontId="2" fillId="2" borderId="0" xfId="1" applyNumberFormat="1" applyAlignment="1">
      <alignment horizontal="right"/>
    </xf>
    <xf numFmtId="2" fontId="2" fillId="5" borderId="0" xfId="1" applyNumberFormat="1" applyFill="1" applyAlignment="1">
      <alignment horizontal="right"/>
    </xf>
    <xf numFmtId="2" fontId="9" fillId="2" borderId="0" xfId="1" applyNumberFormat="1" applyFont="1" applyAlignment="1">
      <alignment horizontal="right"/>
    </xf>
    <xf numFmtId="0" fontId="9" fillId="0" borderId="0" xfId="0" applyFont="1" applyFill="1" applyAlignment="1">
      <alignment horizontal="right"/>
    </xf>
    <xf numFmtId="0" fontId="10" fillId="0" borderId="0" xfId="0" applyFont="1" applyFill="1" applyBorder="1" applyAlignment="1">
      <alignment vertical="center"/>
    </xf>
    <xf numFmtId="49" fontId="0" fillId="0" borderId="0" xfId="0" applyNumberFormat="1" applyFill="1" applyAlignment="1">
      <alignment horizontal="right"/>
    </xf>
    <xf numFmtId="49" fontId="3" fillId="3" borderId="0" xfId="2" applyNumberFormat="1" applyAlignment="1">
      <alignment horizontal="right"/>
    </xf>
    <xf numFmtId="49" fontId="0" fillId="0" borderId="0" xfId="0" applyNumberFormat="1" applyFill="1" applyAlignment="1">
      <alignment horizontal="right" vertical="center"/>
    </xf>
    <xf numFmtId="0" fontId="0" fillId="0" borderId="1" xfId="0" applyBorder="1" applyAlignment="1">
      <alignment horizontal="center"/>
    </xf>
    <xf numFmtId="0" fontId="4" fillId="4" borderId="2" xfId="3" applyAlignment="1">
      <alignment horizontal="center" vertical="center"/>
    </xf>
    <xf numFmtId="0" fontId="2" fillId="2" borderId="0" xfId="1" applyAlignment="1">
      <alignment horizontal="center"/>
    </xf>
    <xf numFmtId="2" fontId="0" fillId="0" borderId="0" xfId="0" applyNumberFormat="1"/>
  </cellXfs>
  <cellStyles count="34">
    <cellStyle name="Bad" xfId="2" builtinId="27"/>
    <cellStyle name="Calculation" xfId="3" builtinId="22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Good" xfId="1" builtinId="26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D3" sqref="D3"/>
    </sheetView>
  </sheetViews>
  <sheetFormatPr baseColWidth="10" defaultColWidth="8.83203125" defaultRowHeight="14" x14ac:dyDescent="0"/>
  <cols>
    <col min="1" max="1" width="9.5" bestFit="1" customWidth="1"/>
    <col min="2" max="2" width="15.33203125" bestFit="1" customWidth="1"/>
    <col min="3" max="3" width="33.83203125" hidden="1" customWidth="1"/>
    <col min="4" max="5" width="33.83203125" style="1" customWidth="1"/>
    <col min="6" max="6" width="21.1640625" bestFit="1" customWidth="1"/>
  </cols>
  <sheetData>
    <row r="1" spans="1:6">
      <c r="A1" s="1"/>
      <c r="B1" s="1"/>
      <c r="D1" s="2" t="s">
        <v>4</v>
      </c>
      <c r="E1" s="2" t="s">
        <v>46</v>
      </c>
      <c r="F1" s="1"/>
    </row>
    <row r="2" spans="1:6">
      <c r="A2" s="2" t="s">
        <v>0</v>
      </c>
      <c r="B2" s="2" t="s">
        <v>1</v>
      </c>
      <c r="C2" s="3"/>
      <c r="D2" s="2" t="s">
        <v>2</v>
      </c>
      <c r="E2" s="2" t="s">
        <v>2</v>
      </c>
      <c r="F2" s="2" t="s">
        <v>3</v>
      </c>
    </row>
    <row r="3" spans="1:6">
      <c r="A3" s="30" t="s">
        <v>13</v>
      </c>
      <c r="B3" s="3" t="s">
        <v>24</v>
      </c>
      <c r="C3" s="4">
        <v>26.1</v>
      </c>
      <c r="D3" s="5">
        <f xml:space="preserve"> C3*1000</f>
        <v>26100</v>
      </c>
      <c r="E3" s="5" t="s">
        <v>47</v>
      </c>
      <c r="F3" s="2">
        <v>4200</v>
      </c>
    </row>
    <row r="4" spans="1:6">
      <c r="A4" s="30"/>
      <c r="B4" s="3" t="s">
        <v>24</v>
      </c>
      <c r="C4" s="4">
        <v>30.95</v>
      </c>
      <c r="D4" s="5">
        <f t="shared" ref="D4:D40" si="0" xml:space="preserve"> C4*1000</f>
        <v>30950</v>
      </c>
      <c r="E4" s="1" t="s">
        <v>49</v>
      </c>
      <c r="F4" s="2">
        <v>4200</v>
      </c>
    </row>
    <row r="5" spans="1:6">
      <c r="A5" s="30" t="s">
        <v>14</v>
      </c>
      <c r="B5" s="3" t="s">
        <v>25</v>
      </c>
      <c r="C5" s="4">
        <v>35.589500000000001</v>
      </c>
      <c r="D5" s="5">
        <f t="shared" si="0"/>
        <v>35589.5</v>
      </c>
      <c r="E5" s="5" t="s">
        <v>48</v>
      </c>
      <c r="F5" s="2">
        <v>1200</v>
      </c>
    </row>
    <row r="6" spans="1:6">
      <c r="A6" s="30"/>
      <c r="B6" s="3" t="s">
        <v>26</v>
      </c>
      <c r="C6" s="4">
        <v>35.589500000000001</v>
      </c>
      <c r="D6" s="5">
        <f t="shared" si="0"/>
        <v>35589.5</v>
      </c>
      <c r="E6" s="5" t="s">
        <v>48</v>
      </c>
      <c r="F6" s="2">
        <v>1200</v>
      </c>
    </row>
    <row r="7" spans="1:6">
      <c r="A7" s="30"/>
      <c r="B7" s="3" t="s">
        <v>27</v>
      </c>
      <c r="C7" s="4">
        <v>40.247</v>
      </c>
      <c r="D7" s="5">
        <f t="shared" si="0"/>
        <v>40247</v>
      </c>
      <c r="E7" s="5" t="s">
        <v>50</v>
      </c>
      <c r="F7" s="2">
        <v>7140</v>
      </c>
    </row>
    <row r="8" spans="1:6">
      <c r="A8" s="30" t="s">
        <v>15</v>
      </c>
      <c r="B8" s="3" t="s">
        <v>27</v>
      </c>
      <c r="C8" s="4">
        <v>49.480999999999995</v>
      </c>
      <c r="D8" s="5">
        <f t="shared" si="0"/>
        <v>49480.999999999993</v>
      </c>
      <c r="E8" s="1" t="s">
        <v>51</v>
      </c>
      <c r="F8" s="2">
        <v>7140</v>
      </c>
    </row>
    <row r="9" spans="1:6">
      <c r="A9" s="30"/>
      <c r="B9" s="3" t="s">
        <v>25</v>
      </c>
      <c r="C9" s="4">
        <v>54.138500000000001</v>
      </c>
      <c r="D9" s="5">
        <f t="shared" si="0"/>
        <v>54138.5</v>
      </c>
      <c r="E9" s="1" t="s">
        <v>52</v>
      </c>
      <c r="F9" s="2">
        <v>1200</v>
      </c>
    </row>
    <row r="10" spans="1:6">
      <c r="A10" s="30"/>
      <c r="B10" s="3" t="s">
        <v>26</v>
      </c>
      <c r="C10" s="4">
        <v>54.138500000000001</v>
      </c>
      <c r="D10" s="5">
        <f t="shared" si="0"/>
        <v>54138.5</v>
      </c>
      <c r="E10" s="5" t="s">
        <v>52</v>
      </c>
      <c r="F10" s="2">
        <v>1200</v>
      </c>
    </row>
    <row r="11" spans="1:6">
      <c r="A11" s="30" t="s">
        <v>16</v>
      </c>
      <c r="B11" s="3" t="s">
        <v>24</v>
      </c>
      <c r="C11" s="4">
        <v>58.777999999999999</v>
      </c>
      <c r="D11" s="5">
        <f t="shared" si="0"/>
        <v>58778</v>
      </c>
      <c r="E11" s="5" t="s">
        <v>53</v>
      </c>
      <c r="F11" s="2">
        <v>4200</v>
      </c>
    </row>
    <row r="12" spans="1:6">
      <c r="A12" s="30"/>
      <c r="B12" s="3" t="s">
        <v>24</v>
      </c>
      <c r="C12" s="4">
        <v>63.628</v>
      </c>
      <c r="D12" s="5">
        <f t="shared" si="0"/>
        <v>63628</v>
      </c>
      <c r="E12" s="5" t="s">
        <v>54</v>
      </c>
      <c r="F12" s="2">
        <v>4200</v>
      </c>
    </row>
    <row r="13" spans="1:6">
      <c r="A13" s="30" t="s">
        <v>17</v>
      </c>
      <c r="B13" s="3" t="s">
        <v>28</v>
      </c>
      <c r="C13" s="4">
        <v>69.259439999999998</v>
      </c>
      <c r="D13" s="5">
        <f t="shared" si="0"/>
        <v>69259.44</v>
      </c>
      <c r="E13" s="5" t="s">
        <v>55</v>
      </c>
      <c r="F13" s="2">
        <v>2200</v>
      </c>
    </row>
    <row r="14" spans="1:6">
      <c r="A14" s="30"/>
      <c r="B14" s="3" t="s">
        <v>29</v>
      </c>
      <c r="C14" s="4">
        <v>69.259439999999998</v>
      </c>
      <c r="D14" s="5">
        <f t="shared" si="0"/>
        <v>69259.44</v>
      </c>
      <c r="E14" s="5" t="s">
        <v>55</v>
      </c>
      <c r="F14" s="2">
        <v>2200</v>
      </c>
    </row>
    <row r="15" spans="1:6">
      <c r="A15" s="30"/>
      <c r="B15" s="3" t="s">
        <v>30</v>
      </c>
      <c r="C15" s="4">
        <v>71.058939999999993</v>
      </c>
      <c r="D15" s="5">
        <f t="shared" si="0"/>
        <v>71058.939999999988</v>
      </c>
      <c r="E15" s="5" t="s">
        <v>56</v>
      </c>
      <c r="F15" s="2">
        <v>807</v>
      </c>
    </row>
    <row r="16" spans="1:6">
      <c r="A16" s="30"/>
      <c r="B16" s="3" t="s">
        <v>31</v>
      </c>
      <c r="C16" s="4">
        <v>71.818820000000002</v>
      </c>
      <c r="D16" s="5">
        <f t="shared" si="0"/>
        <v>71818.820000000007</v>
      </c>
      <c r="E16" s="5" t="s">
        <v>57</v>
      </c>
      <c r="F16" s="2">
        <v>430</v>
      </c>
    </row>
    <row r="17" spans="1:6">
      <c r="A17" s="30"/>
      <c r="B17" s="3" t="s">
        <v>32</v>
      </c>
      <c r="C17" s="4">
        <v>72.216189999999997</v>
      </c>
      <c r="D17" s="5">
        <f t="shared" si="0"/>
        <v>72216.19</v>
      </c>
      <c r="E17" s="5" t="s">
        <v>58</v>
      </c>
      <c r="F17" s="2">
        <v>89</v>
      </c>
    </row>
    <row r="18" spans="1:6">
      <c r="A18" s="30"/>
      <c r="B18" s="3" t="s">
        <v>33</v>
      </c>
      <c r="C18" s="4">
        <v>72.442570000000003</v>
      </c>
      <c r="D18" s="5">
        <f t="shared" si="0"/>
        <v>72442.570000000007</v>
      </c>
      <c r="E18" s="5" t="s">
        <v>59</v>
      </c>
      <c r="F18" s="2">
        <v>95</v>
      </c>
    </row>
    <row r="19" spans="1:6">
      <c r="A19" s="30"/>
      <c r="B19" s="3" t="s">
        <v>34</v>
      </c>
      <c r="C19" s="4">
        <v>72.671949999999995</v>
      </c>
      <c r="D19" s="5">
        <f t="shared" si="0"/>
        <v>72671.95</v>
      </c>
      <c r="E19" s="5" t="s">
        <v>60</v>
      </c>
      <c r="F19" s="2">
        <v>95</v>
      </c>
    </row>
    <row r="20" spans="1:6">
      <c r="A20" s="30"/>
      <c r="B20" s="3" t="s">
        <v>35</v>
      </c>
      <c r="C20" s="4">
        <v>72.895330000000001</v>
      </c>
      <c r="D20" s="5">
        <f t="shared" si="0"/>
        <v>72895.33</v>
      </c>
      <c r="E20" s="5" t="s">
        <v>61</v>
      </c>
      <c r="F20" s="2">
        <v>87</v>
      </c>
    </row>
    <row r="21" spans="1:6">
      <c r="A21" s="30"/>
      <c r="B21" s="3" t="s">
        <v>36</v>
      </c>
      <c r="C21" s="4">
        <v>73.112709999999993</v>
      </c>
      <c r="D21" s="5">
        <f t="shared" si="0"/>
        <v>73112.709999999992</v>
      </c>
      <c r="E21" s="5" t="s">
        <v>62</v>
      </c>
      <c r="F21" s="2">
        <v>87</v>
      </c>
    </row>
    <row r="22" spans="1:6">
      <c r="A22" s="30"/>
      <c r="B22" s="3" t="s">
        <v>37</v>
      </c>
      <c r="C22" s="4">
        <v>73.342089999999999</v>
      </c>
      <c r="D22" s="5">
        <f t="shared" si="0"/>
        <v>73342.09</v>
      </c>
      <c r="E22" s="5" t="s">
        <v>63</v>
      </c>
      <c r="F22" s="2">
        <v>111</v>
      </c>
    </row>
    <row r="23" spans="1:6">
      <c r="A23" s="30"/>
      <c r="B23" s="3" t="s">
        <v>38</v>
      </c>
      <c r="C23" s="4">
        <v>73.583469999999991</v>
      </c>
      <c r="D23" s="5">
        <f t="shared" si="0"/>
        <v>73583.469999999987</v>
      </c>
      <c r="E23" s="5" t="s">
        <v>64</v>
      </c>
      <c r="F23" s="2">
        <v>111</v>
      </c>
    </row>
    <row r="24" spans="1:6">
      <c r="A24" s="3" t="s">
        <v>18</v>
      </c>
      <c r="B24" s="3" t="s">
        <v>39</v>
      </c>
      <c r="C24" s="4">
        <v>78.459999999999994</v>
      </c>
      <c r="D24" s="5">
        <f t="shared" si="0"/>
        <v>78460</v>
      </c>
      <c r="E24" s="5" t="s">
        <v>65</v>
      </c>
      <c r="F24" s="2">
        <v>6270</v>
      </c>
    </row>
    <row r="25" spans="1:6">
      <c r="A25" s="3" t="s">
        <v>19</v>
      </c>
      <c r="B25" s="3" t="s">
        <v>19</v>
      </c>
      <c r="C25" s="4">
        <v>84.524999999999991</v>
      </c>
      <c r="D25" s="5">
        <f t="shared" si="0"/>
        <v>84524.999999999985</v>
      </c>
      <c r="E25" s="5" t="s">
        <v>66</v>
      </c>
      <c r="F25" s="2">
        <v>0</v>
      </c>
    </row>
    <row r="26" spans="1:6">
      <c r="A26" s="3" t="s">
        <v>20</v>
      </c>
      <c r="B26" s="3" t="s">
        <v>20</v>
      </c>
      <c r="C26" s="4">
        <v>132.56348</v>
      </c>
      <c r="D26" s="5">
        <f t="shared" si="0"/>
        <v>132563.48000000001</v>
      </c>
      <c r="E26" s="5"/>
      <c r="F26" s="2">
        <v>0</v>
      </c>
    </row>
    <row r="27" spans="1:6">
      <c r="A27" s="30" t="s">
        <v>21</v>
      </c>
      <c r="B27" s="3" t="s">
        <v>40</v>
      </c>
      <c r="C27" s="4">
        <v>145.40099999999998</v>
      </c>
      <c r="D27" s="5">
        <f t="shared" si="0"/>
        <v>145400.99999999997</v>
      </c>
      <c r="E27" s="5"/>
      <c r="F27" s="2">
        <v>7780.0010000000002</v>
      </c>
    </row>
    <row r="28" spans="1:6">
      <c r="A28" s="30"/>
      <c r="B28" s="3" t="s">
        <v>41</v>
      </c>
      <c r="C28" s="4">
        <v>150.67099999999999</v>
      </c>
      <c r="D28" s="5">
        <f t="shared" si="0"/>
        <v>150671</v>
      </c>
      <c r="E28" s="5"/>
      <c r="F28" s="2">
        <v>1800</v>
      </c>
    </row>
    <row r="29" spans="1:6">
      <c r="A29" s="30"/>
      <c r="B29" s="3" t="s">
        <v>42</v>
      </c>
      <c r="C29" s="4">
        <v>152.95100000000002</v>
      </c>
      <c r="D29" s="5">
        <f t="shared" si="0"/>
        <v>152951.00000000003</v>
      </c>
      <c r="E29" s="5"/>
      <c r="F29" s="2">
        <v>1800</v>
      </c>
    </row>
    <row r="30" spans="1:6">
      <c r="A30" s="30" t="s">
        <v>22</v>
      </c>
      <c r="B30" s="3" t="s">
        <v>5</v>
      </c>
      <c r="C30" s="4">
        <v>153.57400000000001</v>
      </c>
      <c r="D30" s="5">
        <f t="shared" si="0"/>
        <v>153574</v>
      </c>
      <c r="E30" s="5"/>
      <c r="F30" s="2">
        <v>0</v>
      </c>
    </row>
    <row r="31" spans="1:6">
      <c r="A31" s="30"/>
      <c r="B31" s="3" t="s">
        <v>6</v>
      </c>
      <c r="C31" s="4">
        <v>154.624</v>
      </c>
      <c r="D31" s="5">
        <f t="shared" si="0"/>
        <v>154624</v>
      </c>
      <c r="E31" s="5"/>
      <c r="F31" s="2">
        <v>0</v>
      </c>
    </row>
    <row r="32" spans="1:6">
      <c r="A32" s="30"/>
      <c r="B32" s="6" t="s">
        <v>7</v>
      </c>
      <c r="C32" s="4">
        <v>156.97399999999999</v>
      </c>
      <c r="D32" s="5">
        <f t="shared" si="0"/>
        <v>156974</v>
      </c>
      <c r="E32" s="5"/>
      <c r="F32" s="2">
        <v>0</v>
      </c>
    </row>
    <row r="33" spans="1:6">
      <c r="A33" s="30"/>
      <c r="B33" s="6" t="s">
        <v>8</v>
      </c>
      <c r="C33" s="4">
        <v>158.024</v>
      </c>
      <c r="D33" s="5">
        <f t="shared" si="0"/>
        <v>158024</v>
      </c>
      <c r="E33" s="5"/>
      <c r="F33" s="2">
        <v>0</v>
      </c>
    </row>
    <row r="34" spans="1:6">
      <c r="A34" s="30"/>
      <c r="B34" s="3" t="s">
        <v>9</v>
      </c>
      <c r="C34" s="4">
        <v>160.17400000000001</v>
      </c>
      <c r="D34" s="5">
        <f t="shared" si="0"/>
        <v>160174</v>
      </c>
      <c r="E34" s="5"/>
      <c r="F34" s="2">
        <v>0</v>
      </c>
    </row>
    <row r="35" spans="1:6">
      <c r="A35" s="30"/>
      <c r="B35" s="3" t="s">
        <v>10</v>
      </c>
      <c r="C35" s="4">
        <v>161.22399999999999</v>
      </c>
      <c r="D35" s="5">
        <f t="shared" si="0"/>
        <v>161224</v>
      </c>
      <c r="E35" s="5"/>
      <c r="F35" s="2">
        <v>0</v>
      </c>
    </row>
    <row r="36" spans="1:6">
      <c r="A36" s="30"/>
      <c r="B36" s="6" t="s">
        <v>11</v>
      </c>
      <c r="C36" s="4">
        <v>163.57400000000001</v>
      </c>
      <c r="D36" s="5">
        <f t="shared" si="0"/>
        <v>163574</v>
      </c>
      <c r="E36" s="5"/>
      <c r="F36" s="2">
        <v>0</v>
      </c>
    </row>
    <row r="37" spans="1:6">
      <c r="A37" s="30"/>
      <c r="B37" s="6" t="s">
        <v>12</v>
      </c>
      <c r="C37" s="4">
        <v>164.624</v>
      </c>
      <c r="D37" s="5">
        <f t="shared" si="0"/>
        <v>164624</v>
      </c>
      <c r="E37" s="5"/>
      <c r="F37" s="2">
        <v>0</v>
      </c>
    </row>
    <row r="38" spans="1:6">
      <c r="A38" s="30" t="s">
        <v>23</v>
      </c>
      <c r="B38" s="3" t="s">
        <v>43</v>
      </c>
      <c r="C38" s="4">
        <v>176.3425</v>
      </c>
      <c r="D38" s="5">
        <f t="shared" si="0"/>
        <v>176342.5</v>
      </c>
      <c r="E38" s="5"/>
      <c r="F38" s="2">
        <v>1800</v>
      </c>
    </row>
    <row r="39" spans="1:6">
      <c r="A39" s="30"/>
      <c r="B39" s="3" t="s">
        <v>44</v>
      </c>
      <c r="C39" s="4">
        <v>178.5275</v>
      </c>
      <c r="D39" s="5">
        <f t="shared" si="0"/>
        <v>178527.5</v>
      </c>
      <c r="E39" s="5"/>
      <c r="F39" s="2">
        <v>1800</v>
      </c>
    </row>
    <row r="40" spans="1:6">
      <c r="A40" s="30"/>
      <c r="B40" s="3" t="s">
        <v>45</v>
      </c>
      <c r="C40" s="4">
        <v>181.72</v>
      </c>
      <c r="D40" s="5">
        <f t="shared" si="0"/>
        <v>181720</v>
      </c>
      <c r="E40" s="5"/>
      <c r="F40" s="2">
        <v>3830</v>
      </c>
    </row>
  </sheetData>
  <mergeCells count="8">
    <mergeCell ref="A30:A37"/>
    <mergeCell ref="A38:A40"/>
    <mergeCell ref="A3:A4"/>
    <mergeCell ref="A5:A7"/>
    <mergeCell ref="A8:A10"/>
    <mergeCell ref="A11:A12"/>
    <mergeCell ref="A13:A23"/>
    <mergeCell ref="A27:A29"/>
  </mergeCells>
  <pageMargins left="0.7" right="0.7" top="0.75" bottom="0.75" header="0.3" footer="0.3"/>
  <pageSetup paperSize="258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"/>
  <sheetViews>
    <sheetView tabSelected="1" workbookViewId="0">
      <pane ySplit="3" topLeftCell="A36" activePane="bottomLeft" state="frozen"/>
      <selection pane="bottomLeft" activeCell="K55" sqref="K55"/>
    </sheetView>
  </sheetViews>
  <sheetFormatPr baseColWidth="10" defaultColWidth="8.83203125" defaultRowHeight="14" x14ac:dyDescent="0"/>
  <cols>
    <col min="1" max="1" width="16.33203125" style="10" bestFit="1" customWidth="1"/>
    <col min="2" max="5" width="9" style="10" bestFit="1" customWidth="1"/>
    <col min="6" max="6" width="8.83203125" style="7"/>
    <col min="7" max="7" width="14" style="22" customWidth="1"/>
    <col min="8" max="8" width="11.5" style="8" bestFit="1" customWidth="1"/>
    <col min="9" max="10" width="8.83203125" style="7"/>
  </cols>
  <sheetData>
    <row r="1" spans="1:13" ht="18" customHeight="1">
      <c r="A1" s="26"/>
      <c r="B1" s="31"/>
      <c r="C1" s="31"/>
      <c r="D1" s="31"/>
      <c r="E1" s="31"/>
      <c r="G1" s="32"/>
      <c r="H1" s="32"/>
      <c r="I1" s="32"/>
      <c r="J1" s="11"/>
    </row>
    <row r="2" spans="1:13" ht="23" customHeight="1">
      <c r="A2" s="26" t="s">
        <v>138</v>
      </c>
      <c r="B2" s="19"/>
      <c r="C2" s="19"/>
      <c r="D2" s="19"/>
      <c r="E2" s="19"/>
      <c r="G2" s="20"/>
      <c r="H2" s="20"/>
      <c r="I2" s="20"/>
      <c r="J2" s="20"/>
    </row>
    <row r="3" spans="1:13">
      <c r="A3" s="9" t="s">
        <v>67</v>
      </c>
      <c r="B3" s="9" t="s">
        <v>68</v>
      </c>
      <c r="C3" s="9" t="s">
        <v>69</v>
      </c>
      <c r="D3" s="9" t="s">
        <v>70</v>
      </c>
      <c r="E3" s="9" t="s">
        <v>71</v>
      </c>
      <c r="G3" s="21" t="s">
        <v>68</v>
      </c>
      <c r="H3" s="9" t="s">
        <v>69</v>
      </c>
      <c r="I3" s="9" t="s">
        <v>71</v>
      </c>
      <c r="J3" s="9" t="s">
        <v>70</v>
      </c>
      <c r="L3" s="15" t="s">
        <v>135</v>
      </c>
    </row>
    <row r="4" spans="1:13">
      <c r="A4" s="9"/>
      <c r="B4" s="10" t="s">
        <v>72</v>
      </c>
      <c r="C4" s="10" t="s">
        <v>72</v>
      </c>
      <c r="D4" s="10" t="s">
        <v>72</v>
      </c>
      <c r="E4" s="10" t="s">
        <v>72</v>
      </c>
    </row>
    <row r="5" spans="1:13">
      <c r="A5" s="9"/>
    </row>
    <row r="6" spans="1:13">
      <c r="A6" s="9" t="s">
        <v>73</v>
      </c>
      <c r="B6" s="10">
        <v>0</v>
      </c>
      <c r="C6" s="10">
        <v>0</v>
      </c>
      <c r="D6" s="10">
        <v>0</v>
      </c>
      <c r="E6" s="10">
        <v>0</v>
      </c>
      <c r="G6" s="21">
        <v>0</v>
      </c>
    </row>
    <row r="7" spans="1:13">
      <c r="A7" s="9" t="s">
        <v>74</v>
      </c>
      <c r="B7" s="10">
        <v>3.25</v>
      </c>
      <c r="C7" s="10">
        <v>0</v>
      </c>
      <c r="D7" s="10">
        <v>6.5</v>
      </c>
      <c r="E7" s="10">
        <v>6.5</v>
      </c>
      <c r="L7" t="s">
        <v>134</v>
      </c>
      <c r="M7" t="s">
        <v>137</v>
      </c>
    </row>
    <row r="8" spans="1:13">
      <c r="A8" s="9"/>
    </row>
    <row r="9" spans="1:13">
      <c r="A9" s="18" t="s">
        <v>75</v>
      </c>
      <c r="B9" s="10">
        <v>20.015000000000001</v>
      </c>
      <c r="C9" s="10">
        <v>19.114999999999998</v>
      </c>
      <c r="D9" s="10">
        <v>20.914999999999999</v>
      </c>
      <c r="E9" s="10">
        <v>1.8</v>
      </c>
      <c r="G9" s="22">
        <f>H9+I9/2</f>
        <v>19687</v>
      </c>
      <c r="H9" s="10">
        <f>18.787*1000</f>
        <v>18787</v>
      </c>
      <c r="I9" s="7">
        <f>1.8*1000</f>
        <v>1800</v>
      </c>
      <c r="J9" s="7">
        <f>H9+I9</f>
        <v>20587</v>
      </c>
      <c r="K9">
        <f>J12-H9</f>
        <v>8413</v>
      </c>
      <c r="L9" t="s">
        <v>134</v>
      </c>
    </row>
    <row r="10" spans="1:13">
      <c r="A10" s="9"/>
      <c r="H10" s="10"/>
    </row>
    <row r="11" spans="1:13">
      <c r="A11" s="9" t="s">
        <v>76</v>
      </c>
      <c r="B11" s="10">
        <v>21.3475</v>
      </c>
      <c r="C11" s="10">
        <v>21.204999999999998</v>
      </c>
      <c r="D11" s="10">
        <v>21.49</v>
      </c>
      <c r="E11" s="10">
        <v>0.28499999999999998</v>
      </c>
      <c r="G11" s="22">
        <f>H11+I11/2</f>
        <v>22053</v>
      </c>
      <c r="H11" s="8">
        <v>21932</v>
      </c>
      <c r="I11" s="8">
        <v>242</v>
      </c>
      <c r="J11" s="7">
        <f t="shared" ref="J11:J71" si="0">H11+I11</f>
        <v>22174</v>
      </c>
      <c r="K11">
        <f>H12-J11</f>
        <v>826</v>
      </c>
      <c r="L11" t="s">
        <v>134</v>
      </c>
      <c r="M11">
        <f>K11/1000</f>
        <v>0.82599999999999996</v>
      </c>
    </row>
    <row r="12" spans="1:13">
      <c r="A12" s="9" t="s">
        <v>77</v>
      </c>
      <c r="B12" s="10">
        <v>25</v>
      </c>
      <c r="C12" s="10">
        <v>23</v>
      </c>
      <c r="D12" s="10">
        <v>27</v>
      </c>
      <c r="E12" s="10">
        <v>4</v>
      </c>
      <c r="G12" s="22">
        <f t="shared" ref="G12:G67" si="1">H12+I12/2</f>
        <v>25100</v>
      </c>
      <c r="H12" s="10">
        <v>23000</v>
      </c>
      <c r="I12" s="10">
        <v>4200</v>
      </c>
      <c r="J12" s="7">
        <f t="shared" si="0"/>
        <v>27200</v>
      </c>
      <c r="L12" t="s">
        <v>134</v>
      </c>
      <c r="M12">
        <f t="shared" ref="M12:M69" si="2">K12/1000</f>
        <v>0</v>
      </c>
    </row>
    <row r="13" spans="1:13">
      <c r="A13" s="9" t="s">
        <v>78</v>
      </c>
      <c r="B13" s="10">
        <v>29.5</v>
      </c>
      <c r="C13" s="10">
        <v>27.5</v>
      </c>
      <c r="D13" s="10">
        <v>31.5</v>
      </c>
      <c r="E13" s="10">
        <v>4</v>
      </c>
      <c r="G13" s="22">
        <f t="shared" si="1"/>
        <v>29946</v>
      </c>
      <c r="H13" s="8">
        <v>27846</v>
      </c>
      <c r="I13" s="10">
        <v>4200</v>
      </c>
      <c r="J13" s="7">
        <f t="shared" si="0"/>
        <v>32046</v>
      </c>
      <c r="K13">
        <f>H12+I12-H13</f>
        <v>-646</v>
      </c>
      <c r="L13" t="s">
        <v>134</v>
      </c>
      <c r="M13">
        <f t="shared" si="2"/>
        <v>-0.64600000000000002</v>
      </c>
    </row>
    <row r="14" spans="1:13">
      <c r="A14" s="9" t="s">
        <v>79</v>
      </c>
      <c r="B14" s="10">
        <v>32.700000000000003</v>
      </c>
      <c r="C14" s="10">
        <v>32.590000000000003</v>
      </c>
      <c r="D14" s="10">
        <v>32.81</v>
      </c>
      <c r="E14" s="10">
        <v>0.22</v>
      </c>
      <c r="G14" s="22">
        <f t="shared" si="1"/>
        <v>33193</v>
      </c>
      <c r="H14" s="8">
        <v>33072</v>
      </c>
      <c r="I14" s="8">
        <v>242</v>
      </c>
      <c r="J14" s="7">
        <f t="shared" si="0"/>
        <v>33314</v>
      </c>
      <c r="K14">
        <f>H14-J13</f>
        <v>1026</v>
      </c>
      <c r="L14" t="s">
        <v>134</v>
      </c>
      <c r="M14">
        <f t="shared" si="2"/>
        <v>1.026</v>
      </c>
    </row>
    <row r="15" spans="1:13">
      <c r="A15" s="9" t="s">
        <v>80</v>
      </c>
      <c r="B15" s="10">
        <v>34.1</v>
      </c>
      <c r="C15" s="10">
        <v>33.5</v>
      </c>
      <c r="D15" s="10">
        <v>34.700000000000003</v>
      </c>
      <c r="E15" s="10">
        <v>1.2</v>
      </c>
      <c r="G15" s="22">
        <f t="shared" si="1"/>
        <v>34586</v>
      </c>
      <c r="H15" s="8">
        <v>33986</v>
      </c>
      <c r="I15" s="10">
        <v>1200</v>
      </c>
      <c r="J15" s="7">
        <f t="shared" si="0"/>
        <v>35186</v>
      </c>
      <c r="K15">
        <f>H16-J15</f>
        <v>-1200</v>
      </c>
      <c r="L15" t="s">
        <v>134</v>
      </c>
      <c r="M15">
        <f t="shared" si="2"/>
        <v>-1.2</v>
      </c>
    </row>
    <row r="16" spans="1:13">
      <c r="A16" s="9" t="s">
        <v>81</v>
      </c>
      <c r="B16" s="10">
        <v>34.1</v>
      </c>
      <c r="C16" s="10">
        <v>33.5</v>
      </c>
      <c r="D16" s="10">
        <v>34.700000000000003</v>
      </c>
      <c r="E16" s="10">
        <v>1.2</v>
      </c>
      <c r="G16" s="22">
        <f>H16+I16/2</f>
        <v>34586</v>
      </c>
      <c r="H16" s="8">
        <v>33986</v>
      </c>
      <c r="I16" s="10">
        <v>1200</v>
      </c>
      <c r="J16" s="7">
        <f t="shared" si="0"/>
        <v>35186</v>
      </c>
      <c r="K16">
        <f>H17-J16</f>
        <v>489</v>
      </c>
      <c r="L16" t="s">
        <v>134</v>
      </c>
      <c r="M16">
        <f t="shared" si="2"/>
        <v>0.48899999999999999</v>
      </c>
    </row>
    <row r="17" spans="1:13">
      <c r="A17" s="9" t="s">
        <v>82</v>
      </c>
      <c r="B17" s="10">
        <v>38.6</v>
      </c>
      <c r="C17" s="10">
        <v>35.200000000000003</v>
      </c>
      <c r="D17" s="10">
        <v>42</v>
      </c>
      <c r="E17" s="10">
        <v>6.8</v>
      </c>
      <c r="G17" s="24">
        <f t="shared" si="1"/>
        <v>39250</v>
      </c>
      <c r="H17" s="25">
        <v>35675</v>
      </c>
      <c r="I17" s="10">
        <v>7150</v>
      </c>
      <c r="J17" s="7">
        <f t="shared" si="0"/>
        <v>42825</v>
      </c>
      <c r="K17">
        <f>H17-J13</f>
        <v>3629</v>
      </c>
      <c r="L17" t="s">
        <v>134</v>
      </c>
      <c r="M17">
        <f t="shared" si="2"/>
        <v>3.629</v>
      </c>
    </row>
    <row r="18" spans="1:13">
      <c r="A18" s="9"/>
      <c r="G18" s="22">
        <f t="shared" si="1"/>
        <v>0</v>
      </c>
      <c r="I18" s="10"/>
      <c r="M18">
        <f t="shared" si="2"/>
        <v>0</v>
      </c>
    </row>
    <row r="19" spans="1:13">
      <c r="A19" s="9" t="s">
        <v>83</v>
      </c>
      <c r="B19" s="10">
        <v>43.2</v>
      </c>
      <c r="C19" s="10">
        <v>43.09</v>
      </c>
      <c r="D19" s="10">
        <v>43.31</v>
      </c>
      <c r="E19" s="10">
        <v>0.22</v>
      </c>
      <c r="G19" s="22">
        <f t="shared" si="1"/>
        <v>43499</v>
      </c>
      <c r="H19" s="8">
        <v>43378</v>
      </c>
      <c r="I19" s="8">
        <v>242</v>
      </c>
      <c r="J19" s="7">
        <f t="shared" si="0"/>
        <v>43620</v>
      </c>
      <c r="K19">
        <f>H19-J17</f>
        <v>553</v>
      </c>
      <c r="L19" t="s">
        <v>134</v>
      </c>
      <c r="M19">
        <f t="shared" si="2"/>
        <v>0.55300000000000005</v>
      </c>
    </row>
    <row r="20" spans="1:13">
      <c r="A20" s="9"/>
      <c r="G20" s="22">
        <f t="shared" si="1"/>
        <v>0</v>
      </c>
      <c r="M20">
        <f t="shared" si="2"/>
        <v>0</v>
      </c>
    </row>
    <row r="21" spans="1:13">
      <c r="A21" s="9" t="s">
        <v>84</v>
      </c>
      <c r="B21" s="10">
        <v>47.4</v>
      </c>
      <c r="C21" s="10">
        <v>44</v>
      </c>
      <c r="D21" s="10">
        <v>50.8</v>
      </c>
      <c r="E21" s="10">
        <v>6.8</v>
      </c>
      <c r="G21" s="22">
        <f t="shared" si="1"/>
        <v>48507</v>
      </c>
      <c r="H21" s="8">
        <v>44932</v>
      </c>
      <c r="I21" s="10">
        <v>7150</v>
      </c>
      <c r="J21" s="7">
        <f t="shared" si="0"/>
        <v>52082</v>
      </c>
      <c r="K21">
        <f>H21-J17</f>
        <v>2107</v>
      </c>
      <c r="L21" t="s">
        <v>134</v>
      </c>
      <c r="M21">
        <f t="shared" si="2"/>
        <v>2.1070000000000002</v>
      </c>
    </row>
    <row r="22" spans="1:13">
      <c r="A22" s="9" t="s">
        <v>85</v>
      </c>
      <c r="B22" s="10">
        <v>51.9</v>
      </c>
      <c r="C22" s="10">
        <v>51.3</v>
      </c>
      <c r="D22" s="10">
        <v>52.5</v>
      </c>
      <c r="E22" s="10">
        <v>1.2</v>
      </c>
      <c r="G22" s="22">
        <f t="shared" si="1"/>
        <v>53171</v>
      </c>
      <c r="H22" s="8">
        <v>52571</v>
      </c>
      <c r="I22" s="10">
        <v>1200</v>
      </c>
      <c r="J22" s="7">
        <f t="shared" si="0"/>
        <v>53771</v>
      </c>
      <c r="K22">
        <f>H22-J21</f>
        <v>489</v>
      </c>
      <c r="L22" t="s">
        <v>134</v>
      </c>
      <c r="M22">
        <f t="shared" si="2"/>
        <v>0.48899999999999999</v>
      </c>
    </row>
    <row r="23" spans="1:13">
      <c r="A23" s="9" t="s">
        <v>86</v>
      </c>
      <c r="B23" s="10">
        <v>51.9</v>
      </c>
      <c r="C23" s="10">
        <v>51.3</v>
      </c>
      <c r="D23" s="10">
        <v>52.5</v>
      </c>
      <c r="E23" s="10">
        <v>1.2</v>
      </c>
      <c r="G23" s="22">
        <f t="shared" si="1"/>
        <v>53171</v>
      </c>
      <c r="H23" s="8">
        <v>52571</v>
      </c>
      <c r="I23" s="10">
        <v>1200</v>
      </c>
      <c r="J23" s="7">
        <f t="shared" si="0"/>
        <v>53771</v>
      </c>
      <c r="L23" t="s">
        <v>134</v>
      </c>
      <c r="M23">
        <f t="shared" si="2"/>
        <v>0</v>
      </c>
    </row>
    <row r="24" spans="1:13">
      <c r="A24" s="9"/>
      <c r="G24" s="22">
        <f t="shared" si="1"/>
        <v>0</v>
      </c>
      <c r="I24" s="10"/>
      <c r="M24">
        <f t="shared" si="2"/>
        <v>0</v>
      </c>
    </row>
    <row r="25" spans="1:13">
      <c r="A25" s="9" t="s">
        <v>87</v>
      </c>
      <c r="B25" s="10">
        <v>53.7</v>
      </c>
      <c r="C25" s="10">
        <v>53.59</v>
      </c>
      <c r="D25" s="10">
        <v>53.81</v>
      </c>
      <c r="E25" s="10">
        <v>0.22</v>
      </c>
      <c r="G25" s="22">
        <f t="shared" si="1"/>
        <v>54284</v>
      </c>
      <c r="H25" s="8">
        <v>54163</v>
      </c>
      <c r="I25" s="7">
        <v>242</v>
      </c>
      <c r="J25" s="7">
        <f t="shared" si="0"/>
        <v>54405</v>
      </c>
      <c r="K25">
        <f>H25-J23</f>
        <v>392</v>
      </c>
      <c r="L25" t="s">
        <v>134</v>
      </c>
      <c r="M25">
        <f t="shared" si="2"/>
        <v>0.39200000000000002</v>
      </c>
    </row>
    <row r="26" spans="1:13">
      <c r="A26" s="9"/>
      <c r="G26" s="22">
        <f t="shared" si="1"/>
        <v>0</v>
      </c>
      <c r="M26">
        <f t="shared" si="2"/>
        <v>0</v>
      </c>
    </row>
    <row r="27" spans="1:13">
      <c r="A27" s="9" t="s">
        <v>88</v>
      </c>
      <c r="B27" s="10">
        <v>56.5</v>
      </c>
      <c r="C27" s="10">
        <v>54.5</v>
      </c>
      <c r="D27" s="10">
        <v>58.5</v>
      </c>
      <c r="E27" s="10">
        <v>4</v>
      </c>
      <c r="G27" s="22">
        <f t="shared" si="1"/>
        <v>57810</v>
      </c>
      <c r="H27" s="8">
        <v>55710</v>
      </c>
      <c r="I27" s="10">
        <v>4200</v>
      </c>
      <c r="J27" s="7">
        <f t="shared" si="0"/>
        <v>59910</v>
      </c>
      <c r="K27">
        <f>H27-J21</f>
        <v>3628</v>
      </c>
      <c r="L27" t="s">
        <v>134</v>
      </c>
      <c r="M27">
        <f t="shared" si="2"/>
        <v>3.6280000000000001</v>
      </c>
    </row>
    <row r="28" spans="1:13">
      <c r="A28" s="9" t="s">
        <v>89</v>
      </c>
      <c r="B28" s="10">
        <v>61</v>
      </c>
      <c r="C28" s="10">
        <v>59</v>
      </c>
      <c r="D28" s="10">
        <v>63</v>
      </c>
      <c r="E28" s="10">
        <v>4</v>
      </c>
      <c r="G28" s="22">
        <f t="shared" si="1"/>
        <v>62656</v>
      </c>
      <c r="H28" s="8">
        <v>60556</v>
      </c>
      <c r="I28" s="10">
        <v>4200</v>
      </c>
      <c r="J28" s="7">
        <f t="shared" si="0"/>
        <v>64756</v>
      </c>
      <c r="K28">
        <f>H28-J27</f>
        <v>646</v>
      </c>
      <c r="L28" t="s">
        <v>134</v>
      </c>
      <c r="M28">
        <f t="shared" si="2"/>
        <v>0.64600000000000002</v>
      </c>
    </row>
    <row r="29" spans="1:13">
      <c r="A29" s="9"/>
      <c r="G29" s="22">
        <f t="shared" si="1"/>
        <v>0</v>
      </c>
      <c r="I29" s="10"/>
      <c r="M29">
        <f t="shared" si="2"/>
        <v>0</v>
      </c>
    </row>
    <row r="30" spans="1:13">
      <c r="A30" s="9" t="s">
        <v>90</v>
      </c>
      <c r="B30" s="10">
        <v>64.684439999999995</v>
      </c>
      <c r="C30" s="10">
        <v>64.574439999999996</v>
      </c>
      <c r="D30" s="10">
        <v>64.794439999999994</v>
      </c>
      <c r="E30" s="10">
        <v>0.22</v>
      </c>
      <c r="G30" s="22">
        <f t="shared" si="1"/>
        <v>65424</v>
      </c>
      <c r="H30" s="8">
        <v>65303</v>
      </c>
      <c r="I30" s="7">
        <v>242</v>
      </c>
      <c r="J30" s="7">
        <f t="shared" si="0"/>
        <v>65545</v>
      </c>
      <c r="K30">
        <f>H32-J30</f>
        <v>1958</v>
      </c>
      <c r="L30" t="s">
        <v>134</v>
      </c>
      <c r="M30">
        <f t="shared" si="2"/>
        <v>1.958</v>
      </c>
    </row>
    <row r="31" spans="1:13">
      <c r="A31" s="9"/>
      <c r="G31" s="22">
        <f t="shared" si="1"/>
        <v>0</v>
      </c>
      <c r="M31">
        <f t="shared" si="2"/>
        <v>0</v>
      </c>
    </row>
    <row r="32" spans="1:13">
      <c r="A32" s="9" t="s">
        <v>91</v>
      </c>
      <c r="B32" s="10">
        <v>66.44444</v>
      </c>
      <c r="C32" s="10">
        <v>65.344440000000006</v>
      </c>
      <c r="D32" s="10">
        <v>67.544439999999994</v>
      </c>
      <c r="E32" s="10">
        <v>2.2000000000000002</v>
      </c>
      <c r="G32" s="22">
        <f t="shared" si="1"/>
        <v>68603</v>
      </c>
      <c r="H32" s="8">
        <v>67503</v>
      </c>
      <c r="I32" s="10">
        <v>2200</v>
      </c>
      <c r="J32" s="7">
        <f t="shared" si="0"/>
        <v>69703</v>
      </c>
      <c r="K32">
        <f>H32-J28</f>
        <v>2747</v>
      </c>
      <c r="L32" t="s">
        <v>134</v>
      </c>
      <c r="M32">
        <f t="shared" si="2"/>
        <v>2.7469999999999999</v>
      </c>
    </row>
    <row r="33" spans="1:13">
      <c r="A33" s="9" t="s">
        <v>92</v>
      </c>
      <c r="B33" s="10">
        <v>66.44444</v>
      </c>
      <c r="C33" s="10">
        <v>65.344440000000006</v>
      </c>
      <c r="D33" s="10">
        <v>67.544439999999994</v>
      </c>
      <c r="E33" s="10">
        <v>2.2000000000000002</v>
      </c>
      <c r="G33" s="22">
        <f t="shared" si="1"/>
        <v>68603</v>
      </c>
      <c r="H33" s="8">
        <v>67503</v>
      </c>
      <c r="I33" s="10">
        <v>2200</v>
      </c>
      <c r="J33" s="7">
        <f t="shared" si="0"/>
        <v>69703</v>
      </c>
      <c r="L33" t="s">
        <v>134</v>
      </c>
      <c r="M33">
        <f t="shared" si="2"/>
        <v>0</v>
      </c>
    </row>
    <row r="34" spans="1:13">
      <c r="A34" s="9" t="s">
        <v>93</v>
      </c>
      <c r="B34" s="10">
        <v>68.243939999999995</v>
      </c>
      <c r="C34" s="10">
        <v>67.840440000000001</v>
      </c>
      <c r="D34" s="10">
        <v>68.647440000000003</v>
      </c>
      <c r="E34" s="10">
        <v>0.80700000000000005</v>
      </c>
      <c r="G34" s="22">
        <f t="shared" si="1"/>
        <v>70402.5</v>
      </c>
      <c r="H34" s="8">
        <v>69999</v>
      </c>
      <c r="I34" s="10">
        <v>807</v>
      </c>
      <c r="J34" s="7">
        <f t="shared" si="0"/>
        <v>70806</v>
      </c>
      <c r="K34">
        <f>H34-J33</f>
        <v>296</v>
      </c>
      <c r="L34" t="s">
        <v>134</v>
      </c>
      <c r="M34">
        <f t="shared" si="2"/>
        <v>0.29599999999999999</v>
      </c>
    </row>
    <row r="35" spans="1:13">
      <c r="A35" s="9" t="s">
        <v>94</v>
      </c>
      <c r="B35" s="10">
        <v>69.003820000000005</v>
      </c>
      <c r="C35" s="10">
        <v>68.788820000000001</v>
      </c>
      <c r="D35" s="10">
        <v>69.218819999999994</v>
      </c>
      <c r="E35" s="10">
        <v>0.43</v>
      </c>
      <c r="G35" s="22">
        <f t="shared" si="1"/>
        <v>71162.38</v>
      </c>
      <c r="H35" s="8">
        <v>70947.38</v>
      </c>
      <c r="I35" s="10">
        <v>430</v>
      </c>
      <c r="J35" s="7">
        <f t="shared" si="0"/>
        <v>71377.38</v>
      </c>
      <c r="K35">
        <f>H35-J34</f>
        <v>141.38000000000466</v>
      </c>
      <c r="L35" t="s">
        <v>134</v>
      </c>
      <c r="M35">
        <f t="shared" si="2"/>
        <v>0.14138000000000467</v>
      </c>
    </row>
    <row r="36" spans="1:13">
      <c r="A36" s="9" t="s">
        <v>95</v>
      </c>
      <c r="B36" s="10">
        <v>69.40119</v>
      </c>
      <c r="C36" s="10">
        <v>69.35669</v>
      </c>
      <c r="D36" s="10">
        <v>69.445689999999999</v>
      </c>
      <c r="E36" s="10">
        <v>8.8999999999999996E-2</v>
      </c>
      <c r="G36" s="22">
        <f t="shared" si="1"/>
        <v>71559.760000000009</v>
      </c>
      <c r="H36" s="8">
        <f>70947.38+567.88</f>
        <v>71515.260000000009</v>
      </c>
      <c r="I36" s="10">
        <v>89</v>
      </c>
      <c r="J36" s="7">
        <f t="shared" si="0"/>
        <v>71604.260000000009</v>
      </c>
      <c r="K36">
        <f>H36-J35</f>
        <v>137.88000000000466</v>
      </c>
      <c r="L36" t="s">
        <v>134</v>
      </c>
      <c r="M36">
        <f t="shared" si="2"/>
        <v>0.13788000000000467</v>
      </c>
    </row>
    <row r="37" spans="1:13">
      <c r="A37" s="9" t="s">
        <v>96</v>
      </c>
      <c r="B37" s="10">
        <v>69.627570000000006</v>
      </c>
      <c r="C37" s="10">
        <v>69.580070000000006</v>
      </c>
      <c r="D37" s="10">
        <v>69.675070000000005</v>
      </c>
      <c r="E37" s="10">
        <v>9.5000000000000001E-2</v>
      </c>
      <c r="G37" s="22">
        <f t="shared" si="1"/>
        <v>71786.14</v>
      </c>
      <c r="H37" s="8">
        <f>71515.26+223.38</f>
        <v>71738.64</v>
      </c>
      <c r="I37" s="10">
        <v>95</v>
      </c>
      <c r="J37" s="7">
        <f t="shared" si="0"/>
        <v>71833.64</v>
      </c>
      <c r="K37">
        <f t="shared" ref="K37:K42" si="3">H37-J36</f>
        <v>134.3799999999901</v>
      </c>
      <c r="L37" t="s">
        <v>134</v>
      </c>
      <c r="M37">
        <f t="shared" si="2"/>
        <v>0.13437999999999012</v>
      </c>
    </row>
    <row r="38" spans="1:13">
      <c r="A38" s="9" t="s">
        <v>97</v>
      </c>
      <c r="B38" s="10">
        <v>69.856949999999998</v>
      </c>
      <c r="C38" s="10">
        <v>69.809449999999998</v>
      </c>
      <c r="D38" s="10">
        <v>69.904449999999997</v>
      </c>
      <c r="E38" s="10">
        <v>9.5000000000000001E-2</v>
      </c>
      <c r="G38" s="22">
        <f t="shared" si="1"/>
        <v>72015.520000000004</v>
      </c>
      <c r="H38" s="8">
        <f>71738.64+229.38</f>
        <v>71968.02</v>
      </c>
      <c r="I38" s="10">
        <v>95</v>
      </c>
      <c r="J38" s="7">
        <f t="shared" si="0"/>
        <v>72063.02</v>
      </c>
      <c r="K38">
        <f t="shared" si="3"/>
        <v>134.38000000000466</v>
      </c>
      <c r="L38" t="s">
        <v>134</v>
      </c>
      <c r="M38">
        <f t="shared" si="2"/>
        <v>0.13438000000000466</v>
      </c>
    </row>
    <row r="39" spans="1:13">
      <c r="A39" s="9" t="s">
        <v>98</v>
      </c>
      <c r="B39" s="10">
        <v>70.080330000000004</v>
      </c>
      <c r="C39" s="10">
        <v>70.036829999999995</v>
      </c>
      <c r="D39" s="10">
        <v>70.123829999999998</v>
      </c>
      <c r="E39" s="10">
        <v>8.6999999999999994E-2</v>
      </c>
      <c r="G39" s="22">
        <f t="shared" si="1"/>
        <v>72238.900000000009</v>
      </c>
      <c r="H39" s="8">
        <f>71968.02+227.38</f>
        <v>72195.400000000009</v>
      </c>
      <c r="I39" s="10">
        <v>87</v>
      </c>
      <c r="J39" s="7">
        <f t="shared" si="0"/>
        <v>72282.400000000009</v>
      </c>
      <c r="K39">
        <f t="shared" si="3"/>
        <v>132.38000000000466</v>
      </c>
      <c r="L39" t="s">
        <v>134</v>
      </c>
      <c r="M39">
        <f t="shared" si="2"/>
        <v>0.13238000000000466</v>
      </c>
    </row>
    <row r="40" spans="1:13">
      <c r="A40" s="9" t="s">
        <v>99</v>
      </c>
      <c r="B40" s="10">
        <v>70.297709999999995</v>
      </c>
      <c r="C40" s="10">
        <v>70.25421</v>
      </c>
      <c r="D40" s="10">
        <v>70.341210000000004</v>
      </c>
      <c r="E40" s="10">
        <v>8.6999999999999994E-2</v>
      </c>
      <c r="G40" s="22">
        <f t="shared" si="1"/>
        <v>72456.28</v>
      </c>
      <c r="H40" s="8">
        <f>72195.4+217.38</f>
        <v>72412.78</v>
      </c>
      <c r="I40" s="10">
        <v>87</v>
      </c>
      <c r="J40" s="7">
        <f t="shared" si="0"/>
        <v>72499.78</v>
      </c>
      <c r="K40">
        <f>H40-J39</f>
        <v>130.3799999999901</v>
      </c>
      <c r="L40" t="s">
        <v>134</v>
      </c>
      <c r="M40">
        <f t="shared" si="2"/>
        <v>0.13037999999999011</v>
      </c>
    </row>
    <row r="41" spans="1:13">
      <c r="A41" s="9" t="s">
        <v>100</v>
      </c>
      <c r="B41" s="10">
        <v>70.527090000000001</v>
      </c>
      <c r="C41" s="10">
        <v>70.471590000000006</v>
      </c>
      <c r="D41" s="10">
        <v>70.582589999999996</v>
      </c>
      <c r="E41" s="10">
        <v>0.111</v>
      </c>
      <c r="G41" s="22">
        <f t="shared" si="1"/>
        <v>72685.66</v>
      </c>
      <c r="H41" s="8">
        <f>72412.78+217.38</f>
        <v>72630.16</v>
      </c>
      <c r="I41" s="10">
        <v>111</v>
      </c>
      <c r="J41" s="7">
        <f t="shared" si="0"/>
        <v>72741.16</v>
      </c>
      <c r="K41">
        <f t="shared" si="3"/>
        <v>130.38000000000466</v>
      </c>
      <c r="L41" t="s">
        <v>134</v>
      </c>
      <c r="M41">
        <f t="shared" si="2"/>
        <v>0.13038000000000466</v>
      </c>
    </row>
    <row r="42" spans="1:13">
      <c r="A42" s="9" t="s">
        <v>101</v>
      </c>
      <c r="B42" s="10">
        <v>70.768469999999994</v>
      </c>
      <c r="C42" s="10">
        <v>70.712969999999999</v>
      </c>
      <c r="D42" s="10">
        <v>70.823970000000003</v>
      </c>
      <c r="E42" s="10">
        <v>0.111</v>
      </c>
      <c r="G42" s="22">
        <f t="shared" si="1"/>
        <v>72927.040000000008</v>
      </c>
      <c r="H42" s="8">
        <f>72630.16+241.38</f>
        <v>72871.540000000008</v>
      </c>
      <c r="I42" s="10">
        <v>111</v>
      </c>
      <c r="J42" s="7">
        <f t="shared" si="0"/>
        <v>72982.540000000008</v>
      </c>
      <c r="K42">
        <f t="shared" si="3"/>
        <v>130.38000000000466</v>
      </c>
      <c r="L42" t="s">
        <v>134</v>
      </c>
      <c r="M42">
        <f t="shared" si="2"/>
        <v>0.13038000000000466</v>
      </c>
    </row>
    <row r="43" spans="1:13">
      <c r="A43" s="9"/>
      <c r="G43" s="22">
        <f t="shared" si="1"/>
        <v>0</v>
      </c>
      <c r="I43" s="10"/>
      <c r="M43">
        <f t="shared" si="2"/>
        <v>0</v>
      </c>
    </row>
    <row r="44" spans="1:13">
      <c r="A44" s="9" t="s">
        <v>102</v>
      </c>
      <c r="B44" s="10">
        <v>71.510440000000003</v>
      </c>
      <c r="C44" s="10">
        <v>71.400440000000003</v>
      </c>
      <c r="D44" s="10">
        <v>71.620440000000002</v>
      </c>
      <c r="E44" s="10">
        <v>0.22</v>
      </c>
      <c r="G44" s="22">
        <f t="shared" si="1"/>
        <v>73240.039999999994</v>
      </c>
      <c r="H44" s="8">
        <v>73119.039999999994</v>
      </c>
      <c r="I44" s="10">
        <v>242</v>
      </c>
      <c r="J44" s="7">
        <f t="shared" si="0"/>
        <v>73361.039999999994</v>
      </c>
      <c r="K44">
        <f>(H44-J42)</f>
        <v>136.49999999998545</v>
      </c>
      <c r="L44" t="s">
        <v>134</v>
      </c>
      <c r="M44">
        <f t="shared" si="2"/>
        <v>0.13649999999998544</v>
      </c>
    </row>
    <row r="45" spans="1:13">
      <c r="A45" s="9"/>
      <c r="G45" s="22">
        <f t="shared" si="1"/>
        <v>0</v>
      </c>
      <c r="M45">
        <f t="shared" si="2"/>
        <v>0</v>
      </c>
    </row>
    <row r="46" spans="1:13">
      <c r="A46" s="9" t="s">
        <v>103</v>
      </c>
      <c r="B46" s="10">
        <v>75.454999999999998</v>
      </c>
      <c r="C46" s="10">
        <v>72.319999999999993</v>
      </c>
      <c r="D46" s="10">
        <v>78.59</v>
      </c>
      <c r="E46" s="10">
        <v>6.2700009999999997</v>
      </c>
      <c r="G46" s="22">
        <f t="shared" si="1"/>
        <v>77804.039999999994</v>
      </c>
      <c r="H46" s="8">
        <v>74669.039999999994</v>
      </c>
      <c r="I46" s="10">
        <v>6270</v>
      </c>
      <c r="J46" s="7">
        <f t="shared" si="0"/>
        <v>80939.039999999994</v>
      </c>
      <c r="K46">
        <f>H46-J28</f>
        <v>9913.0399999999936</v>
      </c>
      <c r="L46" t="s">
        <v>134</v>
      </c>
      <c r="M46">
        <f t="shared" si="2"/>
        <v>9.9130399999999934</v>
      </c>
    </row>
    <row r="47" spans="1:13">
      <c r="A47" s="9" t="s">
        <v>104</v>
      </c>
      <c r="B47" s="10">
        <v>80.52</v>
      </c>
      <c r="C47" s="10">
        <v>80.41</v>
      </c>
      <c r="D47" s="10">
        <v>80.63</v>
      </c>
      <c r="E47" s="10">
        <v>0.22</v>
      </c>
      <c r="G47" s="22">
        <f>86.19033*1000</f>
        <v>86190.33</v>
      </c>
      <c r="H47" s="8">
        <f>G47-I47/2</f>
        <v>86069.33</v>
      </c>
      <c r="I47" s="7">
        <v>242</v>
      </c>
      <c r="J47" s="7">
        <f>H47+I47</f>
        <v>86311.33</v>
      </c>
      <c r="L47" s="16" t="s">
        <v>136</v>
      </c>
      <c r="M47">
        <f t="shared" si="2"/>
        <v>0</v>
      </c>
    </row>
    <row r="48" spans="1:13">
      <c r="A48" s="18" t="s">
        <v>105</v>
      </c>
      <c r="B48" s="10">
        <v>128.73599999999999</v>
      </c>
      <c r="C48" s="10">
        <v>126.986</v>
      </c>
      <c r="D48" s="10">
        <v>130.48599999999999</v>
      </c>
      <c r="E48" s="10">
        <v>3.5</v>
      </c>
      <c r="F48" s="7">
        <f>C54-D48</f>
        <v>8.0200000000000102</v>
      </c>
      <c r="G48" s="22" t="e">
        <f t="shared" si="1"/>
        <v>#VALUE!</v>
      </c>
      <c r="H48" s="27" t="s">
        <v>140</v>
      </c>
      <c r="I48" s="8"/>
    </row>
    <row r="49" spans="1:15">
      <c r="A49" s="9"/>
      <c r="G49" s="22">
        <f t="shared" si="1"/>
        <v>0</v>
      </c>
      <c r="H49" s="27"/>
    </row>
    <row r="50" spans="1:15">
      <c r="A50" s="9"/>
      <c r="G50" s="22">
        <f t="shared" si="1"/>
        <v>0</v>
      </c>
      <c r="H50" s="27"/>
    </row>
    <row r="51" spans="1:15">
      <c r="A51" s="18" t="s">
        <v>106</v>
      </c>
      <c r="B51" s="10">
        <v>134.62799999999999</v>
      </c>
      <c r="C51" s="10">
        <v>134.12799999999999</v>
      </c>
      <c r="D51" s="10">
        <v>135.12799999999999</v>
      </c>
      <c r="E51" s="10">
        <v>1</v>
      </c>
      <c r="F51" s="7">
        <f>C54-D51</f>
        <v>3.3780000000000143</v>
      </c>
      <c r="G51" s="22" t="e">
        <f t="shared" si="1"/>
        <v>#VALUE!</v>
      </c>
      <c r="H51" s="28" t="s">
        <v>140</v>
      </c>
    </row>
    <row r="52" spans="1:15">
      <c r="A52" s="9" t="s">
        <v>107</v>
      </c>
      <c r="B52" s="10">
        <v>135.83250000000001</v>
      </c>
      <c r="C52" s="10">
        <v>135.69</v>
      </c>
      <c r="D52" s="10">
        <v>135.97499999999999</v>
      </c>
      <c r="E52" s="10">
        <v>0.28499999999999998</v>
      </c>
      <c r="F52" s="7">
        <f>C53-D52</f>
        <v>0.20000000000001705</v>
      </c>
      <c r="G52" s="22" t="e">
        <f t="shared" si="1"/>
        <v>#VALUE!</v>
      </c>
      <c r="H52" s="27" t="s">
        <v>140</v>
      </c>
      <c r="I52" s="8"/>
    </row>
    <row r="53" spans="1:15">
      <c r="A53" s="18" t="s">
        <v>108</v>
      </c>
      <c r="B53" s="10">
        <v>136.42500000000001</v>
      </c>
      <c r="C53" s="10">
        <v>136.17500000000001</v>
      </c>
      <c r="D53" s="10">
        <v>136.67500000000001</v>
      </c>
      <c r="E53" s="10">
        <v>0.5</v>
      </c>
      <c r="F53" s="7">
        <f>C54-D53</f>
        <v>1.8309999999999889</v>
      </c>
      <c r="G53" s="22" t="e">
        <f t="shared" si="1"/>
        <v>#VALUE!</v>
      </c>
      <c r="H53" s="29" t="s">
        <v>140</v>
      </c>
    </row>
    <row r="54" spans="1:15">
      <c r="A54" s="9" t="s">
        <v>109</v>
      </c>
      <c r="B54" s="10">
        <v>142.39599999999999</v>
      </c>
      <c r="C54" s="10">
        <v>138.506</v>
      </c>
      <c r="D54" s="10">
        <v>146.286</v>
      </c>
      <c r="E54" s="10">
        <v>7.7800010000000004</v>
      </c>
      <c r="G54" s="22">
        <f t="shared" si="1"/>
        <v>144745.04</v>
      </c>
      <c r="H54" s="8">
        <v>140855.04000000001</v>
      </c>
      <c r="I54" s="8">
        <v>7780</v>
      </c>
      <c r="J54" s="7">
        <f t="shared" si="0"/>
        <v>148635.04</v>
      </c>
      <c r="K54">
        <f>157.9*1000-(H54+I54/2)</f>
        <v>13154.959999999992</v>
      </c>
      <c r="L54" t="s">
        <v>134</v>
      </c>
      <c r="M54">
        <f t="shared" si="2"/>
        <v>13.154959999999992</v>
      </c>
    </row>
    <row r="55" spans="1:15">
      <c r="A55" s="9" t="s">
        <v>110</v>
      </c>
      <c r="B55" s="10">
        <v>147.51599999999999</v>
      </c>
      <c r="C55" s="10">
        <v>146.76599999999999</v>
      </c>
      <c r="D55" s="10">
        <v>148.26599999999999</v>
      </c>
      <c r="E55" s="10">
        <v>1.5</v>
      </c>
      <c r="G55" s="22">
        <f t="shared" si="1"/>
        <v>149920.04</v>
      </c>
      <c r="H55" s="8">
        <v>149020.04</v>
      </c>
      <c r="I55" s="8">
        <v>1800</v>
      </c>
      <c r="J55" s="7">
        <f t="shared" si="0"/>
        <v>150820.04</v>
      </c>
      <c r="K55">
        <f>H55-J54</f>
        <v>385</v>
      </c>
      <c r="L55" t="s">
        <v>134</v>
      </c>
      <c r="M55">
        <f>K55/1000</f>
        <v>0.38500000000000001</v>
      </c>
    </row>
    <row r="56" spans="1:15">
      <c r="A56" s="9" t="s">
        <v>111</v>
      </c>
      <c r="B56" s="10">
        <v>149.49600000000001</v>
      </c>
      <c r="C56" s="10">
        <v>148.74600000000001</v>
      </c>
      <c r="D56" s="10">
        <v>150.24600000000001</v>
      </c>
      <c r="E56" s="10">
        <v>1.5</v>
      </c>
      <c r="G56" s="22">
        <f t="shared" si="1"/>
        <v>152105.04</v>
      </c>
      <c r="H56" s="8">
        <f>149020.04+2185</f>
        <v>151205.04</v>
      </c>
      <c r="I56" s="8">
        <v>1800</v>
      </c>
      <c r="J56" s="7">
        <f t="shared" si="0"/>
        <v>153005.04</v>
      </c>
      <c r="K56">
        <f>H56-J55</f>
        <v>385</v>
      </c>
      <c r="L56" t="s">
        <v>134</v>
      </c>
      <c r="M56">
        <f t="shared" si="2"/>
        <v>0.38500000000000001</v>
      </c>
    </row>
    <row r="57" spans="1:15">
      <c r="A57" s="12" t="s">
        <v>5</v>
      </c>
      <c r="B57" s="13">
        <v>153.57400000000001</v>
      </c>
      <c r="C57" s="13">
        <v>153.57400000000001</v>
      </c>
      <c r="D57" s="13">
        <v>153.57400000000001</v>
      </c>
      <c r="E57" s="13">
        <v>0</v>
      </c>
      <c r="F57" s="14"/>
      <c r="G57" s="23">
        <f t="shared" si="1"/>
        <v>156227.04</v>
      </c>
      <c r="H57" s="14">
        <v>156227.04</v>
      </c>
      <c r="I57" s="14">
        <v>0</v>
      </c>
      <c r="J57" s="7">
        <f t="shared" si="0"/>
        <v>156227.04</v>
      </c>
      <c r="K57">
        <f>H57-$J$56</f>
        <v>3222</v>
      </c>
      <c r="L57" t="s">
        <v>134</v>
      </c>
      <c r="M57">
        <f>K57/1000-3.222</f>
        <v>0</v>
      </c>
      <c r="N57" s="33">
        <f>G58-G57</f>
        <v>1050</v>
      </c>
    </row>
    <row r="58" spans="1:15">
      <c r="A58" s="12" t="s">
        <v>6</v>
      </c>
      <c r="B58" s="13">
        <v>154.624</v>
      </c>
      <c r="C58" s="13">
        <v>154.624</v>
      </c>
      <c r="D58" s="13">
        <v>154.624</v>
      </c>
      <c r="E58" s="13">
        <v>0</v>
      </c>
      <c r="F58" s="14"/>
      <c r="G58" s="23">
        <f t="shared" si="1"/>
        <v>157277.04</v>
      </c>
      <c r="H58" s="14">
        <f>H57+1050</f>
        <v>157277.04</v>
      </c>
      <c r="I58" s="14">
        <v>0</v>
      </c>
      <c r="J58" s="7">
        <f t="shared" si="0"/>
        <v>157277.04</v>
      </c>
      <c r="K58">
        <f t="shared" ref="K58:K64" si="4">H58-$J$56</f>
        <v>4272</v>
      </c>
      <c r="L58" t="s">
        <v>134</v>
      </c>
      <c r="M58">
        <f>K58/1000-3.222</f>
        <v>1.0500000000000003</v>
      </c>
      <c r="N58" s="33">
        <f>G59-G58</f>
        <v>2350</v>
      </c>
      <c r="O58">
        <f>1050+875</f>
        <v>1925</v>
      </c>
    </row>
    <row r="59" spans="1:15">
      <c r="A59" s="12" t="s">
        <v>7</v>
      </c>
      <c r="B59" s="13"/>
      <c r="C59" s="13"/>
      <c r="D59" s="13"/>
      <c r="E59" s="13"/>
      <c r="F59" s="14"/>
      <c r="G59" s="23">
        <f t="shared" si="1"/>
        <v>159627.04</v>
      </c>
      <c r="H59" s="14">
        <f>H58+2350</f>
        <v>159627.04</v>
      </c>
      <c r="I59" s="14">
        <v>0</v>
      </c>
      <c r="J59" s="7">
        <f t="shared" si="0"/>
        <v>159627.04</v>
      </c>
      <c r="K59">
        <f t="shared" si="4"/>
        <v>6622</v>
      </c>
      <c r="L59" t="s">
        <v>134</v>
      </c>
      <c r="M59">
        <f t="shared" ref="M58:M64" si="5">K59/1000-3.222</f>
        <v>3.4</v>
      </c>
    </row>
    <row r="60" spans="1:15">
      <c r="A60" s="12" t="s">
        <v>8</v>
      </c>
      <c r="B60" s="13"/>
      <c r="C60" s="13"/>
      <c r="D60" s="13"/>
      <c r="E60" s="13"/>
      <c r="F60" s="14"/>
      <c r="G60" s="23">
        <f t="shared" si="1"/>
        <v>160677.04</v>
      </c>
      <c r="H60" s="14">
        <f>H59+1050</f>
        <v>160677.04</v>
      </c>
      <c r="I60" s="14">
        <v>0</v>
      </c>
      <c r="J60" s="7">
        <f t="shared" si="0"/>
        <v>160677.04</v>
      </c>
      <c r="K60">
        <f t="shared" si="4"/>
        <v>7672</v>
      </c>
      <c r="L60" t="s">
        <v>134</v>
      </c>
      <c r="M60">
        <f t="shared" si="5"/>
        <v>4.4499999999999993</v>
      </c>
    </row>
    <row r="61" spans="1:15">
      <c r="A61" s="12" t="s">
        <v>9</v>
      </c>
      <c r="B61" s="13">
        <v>160.17400000000001</v>
      </c>
      <c r="C61" s="13">
        <v>160.17400000000001</v>
      </c>
      <c r="D61" s="13">
        <v>160.17400000000001</v>
      </c>
      <c r="E61" s="13">
        <v>0</v>
      </c>
      <c r="F61" s="14"/>
      <c r="G61" s="23">
        <f t="shared" si="1"/>
        <v>162827.04</v>
      </c>
      <c r="H61" s="14">
        <f>H60+2150</f>
        <v>162827.04</v>
      </c>
      <c r="I61" s="14">
        <v>0</v>
      </c>
      <c r="J61" s="7">
        <f t="shared" si="0"/>
        <v>162827.04</v>
      </c>
      <c r="K61">
        <f t="shared" si="4"/>
        <v>9822</v>
      </c>
      <c r="L61" t="s">
        <v>134</v>
      </c>
      <c r="M61">
        <f t="shared" si="5"/>
        <v>6.6</v>
      </c>
    </row>
    <row r="62" spans="1:15">
      <c r="A62" s="12" t="s">
        <v>10</v>
      </c>
      <c r="B62" s="13">
        <v>161.22399999999999</v>
      </c>
      <c r="C62" s="13">
        <v>161.22399999999999</v>
      </c>
      <c r="D62" s="13">
        <v>161.22399999999999</v>
      </c>
      <c r="E62" s="13">
        <v>0</v>
      </c>
      <c r="F62" s="14"/>
      <c r="G62" s="23">
        <f t="shared" si="1"/>
        <v>163877.04</v>
      </c>
      <c r="H62" s="14">
        <f>H61+1050</f>
        <v>163877.04</v>
      </c>
      <c r="I62" s="14">
        <v>0</v>
      </c>
      <c r="J62" s="7">
        <f t="shared" si="0"/>
        <v>163877.04</v>
      </c>
      <c r="K62">
        <f t="shared" si="4"/>
        <v>10872</v>
      </c>
      <c r="L62" t="s">
        <v>134</v>
      </c>
      <c r="M62">
        <f t="shared" si="5"/>
        <v>7.65</v>
      </c>
    </row>
    <row r="63" spans="1:15">
      <c r="A63" s="12" t="s">
        <v>11</v>
      </c>
      <c r="B63" s="13"/>
      <c r="C63" s="13"/>
      <c r="D63" s="13"/>
      <c r="E63" s="13"/>
      <c r="F63" s="14"/>
      <c r="G63" s="23">
        <f t="shared" si="1"/>
        <v>166227.04</v>
      </c>
      <c r="H63" s="14">
        <f>H62+2350</f>
        <v>166227.04</v>
      </c>
      <c r="I63" s="14">
        <v>0</v>
      </c>
      <c r="J63" s="7">
        <f t="shared" si="0"/>
        <v>166227.04</v>
      </c>
      <c r="K63">
        <f t="shared" si="4"/>
        <v>13222</v>
      </c>
      <c r="L63" t="s">
        <v>134</v>
      </c>
      <c r="M63">
        <f t="shared" si="5"/>
        <v>10</v>
      </c>
    </row>
    <row r="64" spans="1:15">
      <c r="A64" s="12" t="s">
        <v>12</v>
      </c>
      <c r="B64" s="13"/>
      <c r="C64" s="13"/>
      <c r="D64" s="13"/>
      <c r="E64" s="13"/>
      <c r="F64" s="14"/>
      <c r="G64" s="23">
        <f t="shared" si="1"/>
        <v>167277.04</v>
      </c>
      <c r="H64" s="14">
        <f>H63+1050</f>
        <v>167277.04</v>
      </c>
      <c r="I64" s="14">
        <v>0</v>
      </c>
      <c r="J64" s="7">
        <f t="shared" si="0"/>
        <v>167277.04</v>
      </c>
      <c r="K64">
        <f t="shared" si="4"/>
        <v>14272</v>
      </c>
      <c r="L64" t="s">
        <v>134</v>
      </c>
      <c r="M64">
        <f t="shared" si="5"/>
        <v>11.05</v>
      </c>
    </row>
    <row r="65" spans="1:13">
      <c r="A65" s="9" t="s">
        <v>112</v>
      </c>
      <c r="B65" s="10">
        <v>172.60499999999999</v>
      </c>
      <c r="C65" s="10">
        <v>171.85499999999999</v>
      </c>
      <c r="D65" s="10">
        <v>173.35499999999999</v>
      </c>
      <c r="E65" s="10">
        <v>1.5</v>
      </c>
      <c r="G65" s="22">
        <f t="shared" si="1"/>
        <v>175350.04</v>
      </c>
      <c r="H65" s="17">
        <v>174450.04</v>
      </c>
      <c r="I65" s="8">
        <v>1800</v>
      </c>
      <c r="J65" s="7">
        <f t="shared" si="0"/>
        <v>176250.04</v>
      </c>
      <c r="K65">
        <f>H66-J65</f>
        <v>385</v>
      </c>
      <c r="L65" t="s">
        <v>134</v>
      </c>
      <c r="M65">
        <f t="shared" si="2"/>
        <v>0.38500000000000001</v>
      </c>
    </row>
    <row r="66" spans="1:13">
      <c r="A66" s="9" t="s">
        <v>113</v>
      </c>
      <c r="B66" s="10">
        <v>174.58500000000001</v>
      </c>
      <c r="C66" s="10">
        <v>173.83500000000001</v>
      </c>
      <c r="D66" s="10">
        <v>175.33500000000001</v>
      </c>
      <c r="E66" s="10">
        <v>1.5</v>
      </c>
      <c r="G66" s="22">
        <f t="shared" si="1"/>
        <v>177535.04</v>
      </c>
      <c r="H66" s="8">
        <v>176635.04</v>
      </c>
      <c r="I66" s="8">
        <v>1800</v>
      </c>
      <c r="J66" s="7">
        <f t="shared" si="0"/>
        <v>178435.04</v>
      </c>
      <c r="K66">
        <f>H67-J66</f>
        <v>372</v>
      </c>
      <c r="L66" t="s">
        <v>134</v>
      </c>
      <c r="M66">
        <f t="shared" si="2"/>
        <v>0.372</v>
      </c>
    </row>
    <row r="67" spans="1:13">
      <c r="A67" s="9" t="s">
        <v>114</v>
      </c>
      <c r="B67" s="10">
        <v>177.6</v>
      </c>
      <c r="C67" s="10">
        <v>175.685</v>
      </c>
      <c r="D67" s="10">
        <v>179.51499999999999</v>
      </c>
      <c r="E67" s="10">
        <v>3.83</v>
      </c>
      <c r="G67" s="22">
        <f t="shared" si="1"/>
        <v>180722.04</v>
      </c>
      <c r="H67" s="8">
        <v>178807.04000000001</v>
      </c>
      <c r="I67" s="8">
        <v>3830</v>
      </c>
      <c r="J67" s="7">
        <f t="shared" si="0"/>
        <v>182637.04</v>
      </c>
      <c r="K67">
        <f>H67+I67/2</f>
        <v>180722.04</v>
      </c>
      <c r="L67" t="s">
        <v>134</v>
      </c>
      <c r="M67">
        <f>K67/1000-169.553</f>
        <v>11.169040000000024</v>
      </c>
    </row>
    <row r="68" spans="1:13">
      <c r="A68" s="9" t="s">
        <v>115</v>
      </c>
      <c r="B68" s="10">
        <v>180.56700000000001</v>
      </c>
      <c r="C68" s="10">
        <v>180.56700000000001</v>
      </c>
      <c r="D68" s="10">
        <v>180.56700000000001</v>
      </c>
      <c r="E68" s="10">
        <v>0</v>
      </c>
      <c r="F68" s="7">
        <f>C68-D67</f>
        <v>1.0520000000000209</v>
      </c>
      <c r="J68" s="7">
        <f t="shared" si="0"/>
        <v>0</v>
      </c>
      <c r="L68" t="s">
        <v>134</v>
      </c>
      <c r="M68">
        <f t="shared" si="2"/>
        <v>0</v>
      </c>
    </row>
    <row r="69" spans="1:13">
      <c r="A69" s="9"/>
      <c r="J69" s="7">
        <f t="shared" si="0"/>
        <v>0</v>
      </c>
      <c r="M69">
        <f t="shared" si="2"/>
        <v>0</v>
      </c>
    </row>
    <row r="70" spans="1:13">
      <c r="A70" s="9" t="s">
        <v>116</v>
      </c>
      <c r="B70" s="10">
        <v>184.565</v>
      </c>
      <c r="C70" s="10">
        <v>184.565</v>
      </c>
      <c r="D70" s="10">
        <v>184.565</v>
      </c>
      <c r="E70" s="10">
        <v>0</v>
      </c>
      <c r="F70" s="7">
        <f>C70-D67</f>
        <v>5.0500000000000114</v>
      </c>
      <c r="J70" s="7">
        <f t="shared" si="0"/>
        <v>0</v>
      </c>
      <c r="L70" t="s">
        <v>134</v>
      </c>
    </row>
    <row r="71" spans="1:13">
      <c r="A71" s="9" t="s">
        <v>139</v>
      </c>
      <c r="J71" s="7">
        <f t="shared" si="0"/>
        <v>0</v>
      </c>
    </row>
    <row r="72" spans="1:13">
      <c r="A72" s="18" t="s">
        <v>117</v>
      </c>
      <c r="B72" s="10">
        <v>197.83099999999999</v>
      </c>
      <c r="C72" s="10">
        <v>197.33099999999999</v>
      </c>
      <c r="D72" s="10">
        <v>198.33099999999999</v>
      </c>
      <c r="E72" s="10">
        <v>1</v>
      </c>
      <c r="F72" s="7">
        <f>C73-D72</f>
        <v>0.76000000000001933</v>
      </c>
      <c r="J72" s="7">
        <f t="shared" ref="J72:J90" si="6">H72+I72</f>
        <v>0</v>
      </c>
      <c r="K72">
        <f t="shared" ref="K72:K75" si="7">$B$77-B72</f>
        <v>9.6590000000000202</v>
      </c>
    </row>
    <row r="73" spans="1:13">
      <c r="A73" s="9" t="s">
        <v>118</v>
      </c>
      <c r="B73" s="10">
        <v>199.59100000000001</v>
      </c>
      <c r="C73" s="10">
        <v>199.09100000000001</v>
      </c>
      <c r="D73" s="10">
        <v>200.09100000000001</v>
      </c>
      <c r="E73" s="10">
        <v>1</v>
      </c>
      <c r="F73" s="7">
        <f>C74-D73</f>
        <v>1.8354999999999961</v>
      </c>
      <c r="J73" s="7">
        <f t="shared" si="6"/>
        <v>0</v>
      </c>
      <c r="K73">
        <f t="shared" si="7"/>
        <v>7.8990000000000009</v>
      </c>
    </row>
    <row r="74" spans="1:13">
      <c r="A74" s="9" t="s">
        <v>119</v>
      </c>
      <c r="B74" s="10">
        <v>202.376</v>
      </c>
      <c r="C74" s="10">
        <v>201.9265</v>
      </c>
      <c r="D74" s="10">
        <v>202.82550000000001</v>
      </c>
      <c r="E74" s="10">
        <v>0.89900000000000002</v>
      </c>
      <c r="J74" s="7">
        <f t="shared" si="6"/>
        <v>0</v>
      </c>
      <c r="K74">
        <f t="shared" si="7"/>
        <v>5.1140000000000043</v>
      </c>
      <c r="L74" t="s">
        <v>134</v>
      </c>
      <c r="M74">
        <f>D74-C75</f>
        <v>-0.39650000000000318</v>
      </c>
    </row>
    <row r="75" spans="1:13">
      <c r="A75" s="9" t="s">
        <v>120</v>
      </c>
      <c r="B75" s="10">
        <v>203.672</v>
      </c>
      <c r="C75" s="10">
        <v>203.22200000000001</v>
      </c>
      <c r="D75" s="10">
        <v>204.12200000000001</v>
      </c>
      <c r="E75" s="10">
        <v>0.9</v>
      </c>
      <c r="J75" s="7">
        <f t="shared" si="6"/>
        <v>0</v>
      </c>
      <c r="K75">
        <f t="shared" si="7"/>
        <v>3.8180000000000121</v>
      </c>
      <c r="L75" t="s">
        <v>134</v>
      </c>
      <c r="M75">
        <f>C76-D75</f>
        <v>0.39649999999997476</v>
      </c>
    </row>
    <row r="76" spans="1:13">
      <c r="A76" s="9" t="s">
        <v>121</v>
      </c>
      <c r="B76" s="10">
        <v>204.96799999999999</v>
      </c>
      <c r="C76" s="10">
        <v>204.51849999999999</v>
      </c>
      <c r="D76" s="10">
        <v>205.41749999999999</v>
      </c>
      <c r="E76" s="10">
        <v>0.89900000000000002</v>
      </c>
      <c r="F76" s="7">
        <f>D75-C76</f>
        <v>-0.39649999999997476</v>
      </c>
      <c r="J76" s="7">
        <f t="shared" si="6"/>
        <v>0</v>
      </c>
      <c r="K76">
        <f>$B$77-B76</f>
        <v>2.5220000000000198</v>
      </c>
      <c r="L76" t="s">
        <v>134</v>
      </c>
      <c r="M76">
        <f>C77-D76</f>
        <v>0.37250000000000227</v>
      </c>
    </row>
    <row r="77" spans="1:13">
      <c r="A77" s="9" t="s">
        <v>122</v>
      </c>
      <c r="B77" s="10">
        <v>207.49</v>
      </c>
      <c r="C77" s="10">
        <v>205.79</v>
      </c>
      <c r="D77" s="10">
        <v>209.19</v>
      </c>
      <c r="E77" s="10">
        <v>3.4</v>
      </c>
      <c r="J77" s="7">
        <f t="shared" si="6"/>
        <v>0</v>
      </c>
      <c r="K77">
        <f>B77-196.49</f>
        <v>11</v>
      </c>
      <c r="L77" t="s">
        <v>134</v>
      </c>
    </row>
    <row r="78" spans="1:13">
      <c r="A78" s="9" t="s">
        <v>123</v>
      </c>
      <c r="B78" s="10">
        <v>210.16399999999999</v>
      </c>
      <c r="C78" s="10">
        <v>210.16399999999999</v>
      </c>
      <c r="D78" s="10">
        <v>210.16399999999999</v>
      </c>
      <c r="E78" s="10">
        <v>0</v>
      </c>
      <c r="J78" s="7">
        <f t="shared" si="6"/>
        <v>0</v>
      </c>
      <c r="K78">
        <f>$B$77-B78</f>
        <v>-2.6739999999999782</v>
      </c>
      <c r="M78" s="7">
        <f>C78-D77</f>
        <v>0.97399999999998954</v>
      </c>
    </row>
    <row r="79" spans="1:13">
      <c r="A79" s="9"/>
      <c r="J79" s="7">
        <f t="shared" si="6"/>
        <v>0</v>
      </c>
    </row>
    <row r="80" spans="1:13">
      <c r="A80" s="9"/>
      <c r="J80" s="7">
        <f t="shared" si="6"/>
        <v>0</v>
      </c>
    </row>
    <row r="81" spans="1:12">
      <c r="A81" s="18" t="s">
        <v>124</v>
      </c>
      <c r="B81" s="10">
        <v>220.80699999999999</v>
      </c>
      <c r="C81" s="10">
        <v>220.30699999999999</v>
      </c>
      <c r="D81" s="10">
        <v>221.30699999999999</v>
      </c>
      <c r="E81" s="10">
        <v>1</v>
      </c>
      <c r="J81" s="7">
        <f t="shared" si="6"/>
        <v>0</v>
      </c>
    </row>
    <row r="82" spans="1:12">
      <c r="A82" s="9" t="s">
        <v>125</v>
      </c>
      <c r="B82" s="10">
        <v>222.56700000000001</v>
      </c>
      <c r="C82" s="10">
        <v>222.06700000000001</v>
      </c>
      <c r="D82" s="10">
        <v>223.06700000000001</v>
      </c>
      <c r="E82" s="10">
        <v>1</v>
      </c>
      <c r="J82" s="7">
        <f t="shared" si="6"/>
        <v>0</v>
      </c>
    </row>
    <row r="83" spans="1:12">
      <c r="A83" s="9" t="s">
        <v>126</v>
      </c>
      <c r="B83" s="10">
        <v>225.34800000000001</v>
      </c>
      <c r="C83" s="10">
        <v>224.89599999999999</v>
      </c>
      <c r="D83" s="10">
        <v>225.8</v>
      </c>
      <c r="E83" s="10">
        <v>0.90400000000000003</v>
      </c>
      <c r="F83" s="7">
        <f>D83-C84</f>
        <v>-0.18999999999999773</v>
      </c>
      <c r="J83" s="7">
        <f t="shared" si="6"/>
        <v>0</v>
      </c>
      <c r="L83" t="s">
        <v>134</v>
      </c>
    </row>
    <row r="84" spans="1:12">
      <c r="A84" s="9" t="s">
        <v>127</v>
      </c>
      <c r="B84" s="10">
        <v>228.39</v>
      </c>
      <c r="C84" s="10">
        <v>225.99</v>
      </c>
      <c r="D84" s="10">
        <v>230.79</v>
      </c>
      <c r="E84" s="10">
        <v>4.8</v>
      </c>
      <c r="J84" s="7">
        <f t="shared" si="6"/>
        <v>0</v>
      </c>
      <c r="K84">
        <f>B84-B83</f>
        <v>3.0419999999999732</v>
      </c>
      <c r="L84" t="s">
        <v>134</v>
      </c>
    </row>
    <row r="85" spans="1:12">
      <c r="A85" s="9" t="s">
        <v>128</v>
      </c>
      <c r="B85" s="10">
        <v>231.535</v>
      </c>
      <c r="C85" s="10">
        <v>231.535</v>
      </c>
      <c r="D85" s="10">
        <v>231.535</v>
      </c>
      <c r="E85" s="10">
        <v>0</v>
      </c>
      <c r="F85" s="7">
        <f>D84-C85</f>
        <v>-0.74500000000000455</v>
      </c>
      <c r="J85" s="7">
        <f t="shared" si="6"/>
        <v>0</v>
      </c>
      <c r="K85">
        <f>B85-B84</f>
        <v>3.1450000000000102</v>
      </c>
      <c r="L85" t="s">
        <v>134</v>
      </c>
    </row>
    <row r="86" spans="1:12">
      <c r="A86" s="9" t="s">
        <v>129</v>
      </c>
      <c r="B86" s="10">
        <v>259.25900000000001</v>
      </c>
      <c r="C86" s="10">
        <v>259.25900000000001</v>
      </c>
      <c r="D86" s="10">
        <v>259.25900000000001</v>
      </c>
      <c r="E86" s="10">
        <v>0</v>
      </c>
      <c r="J86" s="7">
        <f t="shared" si="6"/>
        <v>0</v>
      </c>
    </row>
    <row r="87" spans="1:12">
      <c r="A87" s="9" t="s">
        <v>130</v>
      </c>
      <c r="B87" s="10">
        <v>261.70400000000001</v>
      </c>
      <c r="C87" s="10">
        <v>260.00400000000002</v>
      </c>
      <c r="D87" s="10">
        <v>263.404</v>
      </c>
      <c r="E87" s="10">
        <v>3.4</v>
      </c>
      <c r="J87" s="7">
        <f t="shared" si="6"/>
        <v>0</v>
      </c>
    </row>
    <row r="88" spans="1:12">
      <c r="A88" s="9" t="s">
        <v>131</v>
      </c>
      <c r="B88" s="10">
        <v>265.471</v>
      </c>
      <c r="C88" s="10">
        <v>263.77100000000002</v>
      </c>
      <c r="D88" s="10">
        <v>267.17099999999999</v>
      </c>
      <c r="E88" s="10">
        <v>3.4</v>
      </c>
      <c r="J88" s="7">
        <f t="shared" si="6"/>
        <v>0</v>
      </c>
    </row>
    <row r="89" spans="1:12">
      <c r="A89" s="9" t="s">
        <v>132</v>
      </c>
      <c r="B89" s="10">
        <v>267.81200000000001</v>
      </c>
      <c r="C89" s="10">
        <v>267.36200000000002</v>
      </c>
      <c r="D89" s="10">
        <v>268.262</v>
      </c>
      <c r="E89" s="10">
        <v>0.9</v>
      </c>
      <c r="J89" s="7">
        <f t="shared" si="6"/>
        <v>0</v>
      </c>
    </row>
    <row r="90" spans="1:12">
      <c r="A90" s="9" t="s">
        <v>133</v>
      </c>
      <c r="B90" s="10">
        <v>268.904</v>
      </c>
      <c r="C90" s="10">
        <v>268.904</v>
      </c>
      <c r="D90" s="10">
        <v>268.904</v>
      </c>
      <c r="E90" s="10">
        <v>0</v>
      </c>
      <c r="J90" s="7">
        <f t="shared" si="6"/>
        <v>0</v>
      </c>
    </row>
  </sheetData>
  <mergeCells count="2">
    <mergeCell ref="B1:E1"/>
    <mergeCell ref="G1:I1"/>
  </mergeCells>
  <pageMargins left="0.7" right="0.7" top="0.75" bottom="0.75" header="0.3" footer="0.3"/>
  <pageSetup paperSize="9" orientation="portrait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CERN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Vazquez De Prada</dc:creator>
  <cp:lastModifiedBy>Miriam Fitterer</cp:lastModifiedBy>
  <dcterms:created xsi:type="dcterms:W3CDTF">2015-04-08T12:31:05Z</dcterms:created>
  <dcterms:modified xsi:type="dcterms:W3CDTF">2015-08-13T07:05:53Z</dcterms:modified>
</cp:coreProperties>
</file>